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HTX SAVINA\OMRI FOOD\"/>
    </mc:Choice>
  </mc:AlternateContent>
  <xr:revisionPtr revIDLastSave="0" documentId="13_ncr:1_{865BE0E3-C175-417E-8DA2-877AE4F25124}" xr6:coauthVersionLast="47" xr6:coauthVersionMax="47" xr10:uidLastSave="{00000000-0000-0000-0000-000000000000}"/>
  <bookViews>
    <workbookView xWindow="-110" yWindow="-110" windowWidth="19420" windowHeight="10420" xr2:uid="{00000000-000D-0000-FFFF-FFFF00000000}"/>
  </bookViews>
  <sheets>
    <sheet name="DÒNG PHÂN NỞ-BÓN GỐC" sheetId="4" r:id="rId1"/>
    <sheet name="DÒNG PHÂN NƯỚC" sheetId="5" r:id="rId2"/>
    <sheet name="CHÍNH SÁCH CHO FRAM" sheetId="7" r:id="rId3"/>
  </sheets>
  <definedNames>
    <definedName name="_xlnm.Print_Area" localSheetId="2">'CHÍNH SÁCH CHO FRAM'!$A$1:$F$27</definedName>
    <definedName name="_xlnm.Print_Area" localSheetId="0">'DÒNG PHÂN NỞ-BÓN GỐC'!$A$1:$E$38</definedName>
    <definedName name="_xlnm.Print_Area" localSheetId="1">'DÒNG PHÂN NƯỚC'!$A$1:$I$43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5" l="1"/>
  <c r="H25" i="5"/>
  <c r="H24" i="5"/>
  <c r="H23" i="5"/>
  <c r="H22" i="5"/>
  <c r="H21" i="5"/>
  <c r="H20" i="5"/>
  <c r="H19" i="5"/>
  <c r="H18" i="5"/>
  <c r="H17" i="5"/>
  <c r="H16" i="5"/>
  <c r="H15" i="5"/>
  <c r="H14" i="5"/>
  <c r="H13" i="5"/>
  <c r="H12" i="5"/>
  <c r="E23" i="4" l="1"/>
  <c r="E21" i="4"/>
</calcChain>
</file>

<file path=xl/sharedStrings.xml><?xml version="1.0" encoding="utf-8"?>
<sst xmlns="http://schemas.openxmlformats.org/spreadsheetml/2006/main" count="164" uniqueCount="96">
  <si>
    <t>STT</t>
  </si>
  <si>
    <t>TÊN HÀNG HÓA</t>
  </si>
  <si>
    <t>BẢNG BÁO GIÁ</t>
  </si>
  <si>
    <t>QUY CÁCH</t>
  </si>
  <si>
    <t>ĐVT</t>
  </si>
  <si>
    <t xml:space="preserve">CÔNG TY CỔ PHẦN NÔNG NGHIỆP CÔNG NGHỆ CAO OMRI GROUP </t>
  </si>
  <si>
    <t>Chai</t>
  </si>
  <si>
    <t>GHI CHÚ</t>
  </si>
  <si>
    <r>
      <t xml:space="preserve">               </t>
    </r>
    <r>
      <rPr>
        <sz val="11"/>
        <color rgb="FF00B050"/>
        <rFont val="Times New Roman"/>
        <family val="1"/>
      </rPr>
      <t xml:space="preserve"> Trụ sở: 2E/1, Đường 970 -KP4, Phường Long Trường -  TP.HCM</t>
    </r>
  </si>
  <si>
    <t>Bao 25 kg</t>
  </si>
  <si>
    <t>Túi 10 kg</t>
  </si>
  <si>
    <t>Bao 20 kg</t>
  </si>
  <si>
    <t>Tấn</t>
  </si>
  <si>
    <t xml:space="preserve">CỔNG TY CỔ PHẦN NÔNG NGHIỆP CÔNG NGHỆ CAO OMRI GROUP </t>
  </si>
  <si>
    <t xml:space="preserve">   Wedsite: https://omrigroup.vn/- hotline: 0916.616.855 - 0918.383.222</t>
  </si>
  <si>
    <t xml:space="preserve">                    Nhà Máy : Lô B220A,KCN Thái Hòa,Xã Đức Lập ,Tỉnh Long An</t>
  </si>
  <si>
    <r>
      <t xml:space="preserve">               </t>
    </r>
    <r>
      <rPr>
        <sz val="11"/>
        <color rgb="FF00B050"/>
        <rFont val="Times New Roman"/>
        <family val="1"/>
      </rPr>
      <t xml:space="preserve"> Trụ sở: 2E/1 Đường 970 - KP 4 - Phường Long Trường - TP.HCM</t>
    </r>
  </si>
  <si>
    <t>GIÁ  TẠI KHO FARM</t>
  </si>
  <si>
    <t xml:space="preserve">                    Nhà Máy : Lô B220A,KCN Thái Hòa,Xã Đức Lập ,Tỉnh Tây Ninh, Việt Nam</t>
  </si>
  <si>
    <t>Roots 10</t>
  </si>
  <si>
    <t>TH</t>
  </si>
  <si>
    <t>5L</t>
  </si>
  <si>
    <t>Can</t>
  </si>
  <si>
    <t>Canxi Bo</t>
  </si>
  <si>
    <t>1L</t>
  </si>
  <si>
    <t>500ml</t>
  </si>
  <si>
    <t>Lân đỏ</t>
  </si>
  <si>
    <t>Mg - Zn</t>
  </si>
  <si>
    <t>Amino 40</t>
  </si>
  <si>
    <t>Roots Omri 20kg</t>
  </si>
  <si>
    <t>20kg</t>
  </si>
  <si>
    <t>Xô</t>
  </si>
  <si>
    <t>Siêu Bo</t>
  </si>
  <si>
    <t>Công ty Omri Group chân thành biết ơn sự hợp tác của Quý khách hàng.</t>
  </si>
  <si>
    <t>Trân trọng báo giá!</t>
  </si>
  <si>
    <r>
      <t>Kính gửi</t>
    </r>
    <r>
      <rPr>
        <b/>
        <i/>
        <sz val="12"/>
        <color rgb="FF000000"/>
        <rFont val="Times New Roman"/>
        <family val="1"/>
      </rPr>
      <t xml:space="preserve">: QUÝ KHÁCH HÀNG FRAM </t>
    </r>
  </si>
  <si>
    <r>
      <t xml:space="preserve">PHÂN BÓN HỮU CƠ OMRI 70 OM CAO CẤP
</t>
    </r>
    <r>
      <rPr>
        <sz val="12"/>
        <color theme="1"/>
        <rFont val="Times New Roman"/>
        <family val="1"/>
      </rPr>
      <t>( Sản phẩm có NPK , humic,amino,fulvic + TE )</t>
    </r>
  </si>
  <si>
    <r>
      <t xml:space="preserve">PHÂN BÓN HỮU CƠ OMRI 70 OM 
</t>
    </r>
    <r>
      <rPr>
        <sz val="12"/>
        <color theme="1"/>
        <rFont val="Times New Roman"/>
        <family val="1"/>
      </rPr>
      <t>( sản phẩm có NPK,Humic,Amino,Fulvic và các dinh dưỡng tiêu chuẩn )</t>
    </r>
  </si>
  <si>
    <r>
      <t xml:space="preserve">PHÂN BÓN HỮU CƠ OMRI 60 OM 
</t>
    </r>
    <r>
      <rPr>
        <sz val="12"/>
        <color theme="1"/>
        <rFont val="Times New Roman"/>
        <family val="1"/>
      </rPr>
      <t>( Sản phẩm có NPK,Humic,Amino,Fulvic ...)</t>
    </r>
  </si>
  <si>
    <r>
      <t xml:space="preserve">PHÂN BÓN HỮU CƠ HC GARDEN ORGANIC( BAO 25 Kg) 
</t>
    </r>
    <r>
      <rPr>
        <sz val="12"/>
        <color theme="1"/>
        <rFont val="Times New Roman"/>
        <family val="1"/>
      </rPr>
      <t>( Sản phẩm chứa NPK 12-0-1, 30 OM, amino ,fulvic ...)</t>
    </r>
  </si>
  <si>
    <r>
      <t xml:space="preserve">PHÂN BÓN HỮU CƠ HC GARDEN ORGANIC( BAO 10 Kg) 
</t>
    </r>
    <r>
      <rPr>
        <sz val="12"/>
        <color theme="1"/>
        <rFont val="Times New Roman"/>
        <family val="1"/>
      </rPr>
      <t>( Sản phẩm chứa NPK 12-0-1, 30 OM, amino ,fulvic ...)</t>
    </r>
  </si>
  <si>
    <t>Túi 1 kg</t>
  </si>
  <si>
    <t>kg</t>
  </si>
  <si>
    <t>HUMIC CACBON ( DẠNG BỘT- TÚI 1KG )</t>
  </si>
  <si>
    <t>HUMIC CACBON( DẠNG BỘT- TÚI 5 KG) )</t>
  </si>
  <si>
    <t>Túi 5 kg</t>
  </si>
  <si>
    <t>Ngày 01 Tháng 04 Năm 2026</t>
  </si>
  <si>
    <r>
      <t xml:space="preserve">TRUNG VI LƯỢNG - OMRI - BAO BẠC 20 Kg
</t>
    </r>
    <r>
      <rPr>
        <sz val="12"/>
        <color theme="1"/>
        <rFont val="Times New Roman"/>
        <family val="1"/>
      </rPr>
      <t>( Sản phẩm có 20 OM + TE )
 - giúp bộ rễ khỏe, giải độc đất,cây ,cân bằng PH,điều tiết lượng nước. Giúp  cứng cây xanh lá chống chịu thời tiết bất lợi,tăng tuổi thọ cho cây -</t>
    </r>
  </si>
  <si>
    <t xml:space="preserve"> TRICHODEMA ( DẠNG BỘT - TÚI 1 KG )</t>
  </si>
  <si>
    <t xml:space="preserve"> TRICHODEMA ( DẠNG LỎNG - CAN 5 LÍT )</t>
  </si>
  <si>
    <t xml:space="preserve">Can 5 lít </t>
  </si>
  <si>
    <t>Lít</t>
  </si>
  <si>
    <t xml:space="preserve">   Wedsite: https://omrigroup.vn/- hotline: 0916.616.855</t>
  </si>
  <si>
    <t>Kali Bo Omri</t>
  </si>
  <si>
    <t>Lúa</t>
  </si>
  <si>
    <t>Ra rễ nở bụi</t>
  </si>
  <si>
    <t>Rước đồng trổ thoát</t>
  </si>
  <si>
    <t>Đạm cá</t>
  </si>
  <si>
    <t xml:space="preserve">Đạm cá </t>
  </si>
  <si>
    <t>Siêu vọt đọt</t>
  </si>
  <si>
    <t xml:space="preserve">Lớn trái Omri </t>
  </si>
  <si>
    <t>LOẠI</t>
  </si>
  <si>
    <t>ĐƠN GIÁ</t>
  </si>
  <si>
    <t>GIÁ THÙNG</t>
  </si>
  <si>
    <t>Giá Net</t>
  </si>
  <si>
    <t>( GIÁM ĐỐC)</t>
  </si>
  <si>
    <t>I</t>
  </si>
  <si>
    <t>THỜI GIAN SỬ DỤNG</t>
  </si>
  <si>
    <t>SỐ TIỀN</t>
  </si>
  <si>
    <t>Nay - Tháng 12/2026</t>
  </si>
  <si>
    <t>Nay - Tháng 12/2027</t>
  </si>
  <si>
    <t>Nay - Tháng 12/2028</t>
  </si>
  <si>
    <t>80.000.000</t>
  </si>
  <si>
    <t>130.000.000</t>
  </si>
  <si>
    <t>PHẦN QUÀ</t>
  </si>
  <si>
    <t>180.000.000</t>
  </si>
  <si>
    <t>Nay - Tháng 12/2029</t>
  </si>
  <si>
    <t>Nay - Tháng 12/2030</t>
  </si>
  <si>
    <t>220.000.000</t>
  </si>
  <si>
    <t>PHẦN QUÀ TRỊ GIÁ 2.200.0000</t>
  </si>
  <si>
    <t>PHẦN QUÀ TRỊ GIÁ 2.500.000</t>
  </si>
  <si>
    <t>300.000.000</t>
  </si>
  <si>
    <t xml:space="preserve">PHẦN QUÀ TRỊ GIÁ 9.000.000  </t>
  </si>
  <si>
    <t>CHÍNH SÁCH KHÁCH HÀNG</t>
  </si>
  <si>
    <t>II</t>
  </si>
  <si>
    <t>HUCMIC OMRI CAO CẤP ( DẠNG BỘT ,VẢY - TÚI 1 KG )</t>
  </si>
  <si>
    <t>QUY
CÁCH</t>
  </si>
  <si>
    <t>CÂY
TRỒNG</t>
  </si>
  <si>
    <r>
      <t xml:space="preserve">Công ty Cổ phần Nông Nghiệp Công Nghệ Cao OMRI GROUP </t>
    </r>
    <r>
      <rPr>
        <i/>
        <sz val="13"/>
        <color rgb="FF000000"/>
        <rFont val="Times New Roman"/>
        <family val="1"/>
      </rPr>
      <t>xin chân thành cảm ơn quý khách đã quan tâm, tin dùng các sản phẩm và dịch vụ của Công Ty chúng tôi trong thời gian qua.</t>
    </r>
  </si>
  <si>
    <r>
      <rPr>
        <sz val="13"/>
        <color theme="1"/>
        <rFont val="Times New Roman"/>
        <family val="1"/>
      </rPr>
      <t>Do tình hình thị trường nhiều biến động, để đảm bảo cho các sản phẩm và dịch vụ tốt nhất, nay Công Ty chúng tôi xin gửi bảng báo giá mới</t>
    </r>
    <r>
      <rPr>
        <b/>
        <sz val="13"/>
        <color theme="1"/>
        <rFont val="Times New Roman"/>
        <family val="1"/>
      </rPr>
      <t xml:space="preserve"> áp dụng từ ngày 01/04/2026 </t>
    </r>
    <r>
      <rPr>
        <sz val="13"/>
        <color theme="1"/>
        <rFont val="Times New Roman"/>
        <family val="1"/>
      </rPr>
      <t>các sản phẩm cụ thể như sau:</t>
    </r>
  </si>
  <si>
    <t>THỂ 
TÍCH</t>
  </si>
  <si>
    <r>
      <rPr>
        <sz val="13"/>
        <color theme="1" tint="4.9989318521683403E-2"/>
        <rFont val="Times New Roman"/>
        <family val="1"/>
      </rPr>
      <t>KHÁCH HÀNG LÀ FRAM SỬ DỤNG CÁC DÒNG PHÂN BÓN VÀ DINH DƯỠNG CỦA HÃNG</t>
    </r>
    <r>
      <rPr>
        <b/>
        <sz val="13"/>
        <color theme="1" tint="4.9989318521683403E-2"/>
        <rFont val="Times New Roman"/>
        <family val="1"/>
      </rPr>
      <t xml:space="preserve"> OMRI GROUP</t>
    </r>
  </si>
  <si>
    <r>
      <rPr>
        <i/>
        <sz val="13"/>
        <color theme="1"/>
        <rFont val="Times New Roman"/>
        <family val="1"/>
      </rPr>
      <t xml:space="preserve">CHƯƠNG TRÌNH ĐẶC BIỆT DÀNH CHO </t>
    </r>
    <r>
      <rPr>
        <b/>
        <i/>
        <sz val="13"/>
        <color theme="1"/>
        <rFont val="Times New Roman"/>
        <family val="1"/>
      </rPr>
      <t>KHÁCH HÀNG FRAM CỦA OMRI</t>
    </r>
    <r>
      <rPr>
        <i/>
        <sz val="13"/>
        <color theme="1"/>
        <rFont val="Times New Roman"/>
        <family val="1"/>
      </rPr>
      <t xml:space="preserve">
 </t>
    </r>
    <r>
      <rPr>
        <b/>
        <i/>
        <sz val="13"/>
        <color theme="1"/>
        <rFont val="Times New Roman"/>
        <family val="1"/>
      </rPr>
      <t>CHIA SẼ LẠI CHO FRAM KHÁC</t>
    </r>
    <r>
      <rPr>
        <i/>
        <sz val="13"/>
        <color theme="1"/>
        <rFont val="Times New Roman"/>
        <family val="1"/>
      </rPr>
      <t xml:space="preserve"> SAU KHI TRẢI NGHIỆM HÀI LÒNG VỀ SẢN PHẨM VÀ DỊCH VỤ</t>
    </r>
  </si>
  <si>
    <t>VÉ DU LỊCH
VŨNG TÀU</t>
  </si>
  <si>
    <r>
      <t xml:space="preserve">Với sứ mệnh </t>
    </r>
    <r>
      <rPr>
        <b/>
        <sz val="12"/>
        <color theme="1"/>
        <rFont val="Times New Roman"/>
        <family val="1"/>
      </rPr>
      <t>''KẾT NỐI NÔNG NGHIỆP XANH ''</t>
    </r>
    <r>
      <rPr>
        <sz val="12"/>
        <color theme="1"/>
        <rFont val="Times New Roman"/>
        <family val="1"/>
      </rPr>
      <t xml:space="preserve"> Của Công Ty , Với mục tiêu </t>
    </r>
    <r>
      <rPr>
        <b/>
        <sz val="12"/>
        <color theme="1"/>
        <rFont val="Times New Roman"/>
        <family val="1"/>
      </rPr>
      <t xml:space="preserve">NÂNG TẦM NÔNG SẢN VIỆT </t>
    </r>
    <r>
      <rPr>
        <sz val="12"/>
        <color theme="1"/>
        <rFont val="Times New Roman"/>
        <family val="1"/>
      </rPr>
      <t>và gắn kết hợp tác bền vững cùng phát triển thắng lợi
Nay Công Ty xin được gửi quý khách hàng chính sách dưới đây, để nâng cao sản phẩm và dịch vụ cũng như gắn kết tình giao thương. Một lần xin nữa cám ơn sự đồng hành của quý khách .</t>
    </r>
  </si>
  <si>
    <r>
      <t xml:space="preserve">Công ty Cổ phần Nông Nghiệp Công Nghệ Cao OMRI GROUP </t>
    </r>
    <r>
      <rPr>
        <i/>
        <sz val="12"/>
        <color rgb="FF000000"/>
        <rFont val="Times New Roman"/>
        <family val="1"/>
      </rPr>
      <t>xin chân thành cảm ơn quý khách đã quan tâm, tin dùng các sản phẩm và dịch vụ của Công Ty chúng tôi trong thời gian qua.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</si>
</sst>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 #,##0_ ;_ * \-#,##0_ ;_ * &quot;-&quot;??_ ;_ @_ "/>
  </numFmts>
  <fonts count="40">
    <font>
      <sz val="11"/>
      <color theme="1"/>
      <name val="Calibri"/>
      <family val="2"/>
      <scheme val="minor"/>
    </font>
    <font>
      <sz val="11"/>
      <color theme="1"/>
      <name val="Calibri"/>
      <family val="2"/>
      <scheme val="minor"/>
    </font>
    <font>
      <b/>
      <sz val="11"/>
      <color theme="1"/>
      <name val="Calibri"/>
      <family val="2"/>
      <scheme val="minor"/>
    </font>
    <font>
      <b/>
      <sz val="12"/>
      <color theme="1"/>
      <name val="Times New Roman"/>
      <family val="1"/>
    </font>
    <font>
      <b/>
      <sz val="12"/>
      <name val="Times New Roman"/>
      <family val="1"/>
    </font>
    <font>
      <sz val="12"/>
      <color theme="1"/>
      <name val="Times New Roman"/>
      <family val="1"/>
    </font>
    <font>
      <u/>
      <sz val="11"/>
      <color rgb="FF0000FF"/>
      <name val="Calibri"/>
      <family val="2"/>
      <scheme val="minor"/>
    </font>
    <font>
      <b/>
      <i/>
      <u/>
      <sz val="12"/>
      <color rgb="FF000000"/>
      <name val="Times New Roman"/>
      <family val="1"/>
    </font>
    <font>
      <b/>
      <i/>
      <sz val="12"/>
      <color rgb="FF000000"/>
      <name val="Times New Roman"/>
      <family val="1"/>
    </font>
    <font>
      <b/>
      <sz val="10"/>
      <color theme="1"/>
      <name val="Times New Roman"/>
      <family val="1"/>
    </font>
    <font>
      <sz val="12"/>
      <color rgb="FF000000"/>
      <name val="Times New Roman"/>
      <family val="1"/>
    </font>
    <font>
      <b/>
      <sz val="14"/>
      <color rgb="FF00B050"/>
      <name val="Times New Roman"/>
      <family val="1"/>
    </font>
    <font>
      <sz val="11"/>
      <color rgb="FF00B050"/>
      <name val="Times New Roman"/>
      <family val="1"/>
    </font>
    <font>
      <u/>
      <sz val="11"/>
      <color theme="8"/>
      <name val="Calibri"/>
      <family val="2"/>
      <scheme val="minor"/>
    </font>
    <font>
      <sz val="11"/>
      <color rgb="FF000000"/>
      <name val="Times New Roman"/>
      <family val="1"/>
    </font>
    <font>
      <i/>
      <u/>
      <sz val="24"/>
      <color rgb="FF0070C0"/>
      <name val="Calibri"/>
      <family val="2"/>
      <scheme val="minor"/>
    </font>
    <font>
      <b/>
      <i/>
      <u/>
      <sz val="11"/>
      <color rgb="FF000000"/>
      <name val="Times New Roman"/>
      <family val="1"/>
    </font>
    <font>
      <b/>
      <i/>
      <sz val="11"/>
      <color theme="1"/>
      <name val="Calibri"/>
      <family val="2"/>
      <scheme val="minor"/>
    </font>
    <font>
      <b/>
      <i/>
      <sz val="12"/>
      <color theme="1"/>
      <name val="Times  New Roman"/>
    </font>
    <font>
      <i/>
      <sz val="12"/>
      <color theme="1"/>
      <name val="Times  New Roman"/>
    </font>
    <font>
      <i/>
      <sz val="12"/>
      <color theme="1"/>
      <name val="Times New Roman"/>
      <family val="1"/>
    </font>
    <font>
      <sz val="12"/>
      <color theme="1"/>
      <name val="Times  New Roman"/>
    </font>
    <font>
      <b/>
      <sz val="14"/>
      <name val="Times New Roman"/>
      <family val="1"/>
    </font>
    <font>
      <sz val="14"/>
      <color theme="1"/>
      <name val="Times New Roman"/>
      <family val="1"/>
    </font>
    <font>
      <b/>
      <i/>
      <sz val="14"/>
      <color theme="1"/>
      <name val="Times New Roman"/>
      <family val="1"/>
    </font>
    <font>
      <b/>
      <i/>
      <sz val="12"/>
      <color theme="1"/>
      <name val="Times New Roman"/>
      <family val="1"/>
    </font>
    <font>
      <sz val="13"/>
      <color theme="1"/>
      <name val="Times New Roman"/>
      <family val="1"/>
    </font>
    <font>
      <b/>
      <sz val="13"/>
      <color theme="1"/>
      <name val="Times New Roman"/>
      <family val="1"/>
    </font>
    <font>
      <b/>
      <sz val="12"/>
      <color rgb="FF000000"/>
      <name val="Times New Roman"/>
      <family val="1"/>
    </font>
    <font>
      <b/>
      <sz val="11"/>
      <color theme="1" tint="4.9989318521683403E-2"/>
      <name val="Calibri"/>
      <family val="2"/>
      <scheme val="minor"/>
    </font>
    <font>
      <sz val="11"/>
      <color theme="1"/>
      <name val="Times New Roman"/>
      <family val="1"/>
    </font>
    <font>
      <b/>
      <sz val="11"/>
      <color theme="1"/>
      <name val="Times New Roman"/>
      <family val="1"/>
    </font>
    <font>
      <b/>
      <i/>
      <u/>
      <sz val="18"/>
      <color rgb="FF0070C0"/>
      <name val="Times New Roman"/>
      <family val="1"/>
    </font>
    <font>
      <b/>
      <i/>
      <sz val="13"/>
      <color rgb="FF000000"/>
      <name val="Times New Roman"/>
      <family val="1"/>
    </font>
    <font>
      <i/>
      <sz val="13"/>
      <color rgb="FF000000"/>
      <name val="Times New Roman"/>
      <family val="1"/>
    </font>
    <font>
      <b/>
      <sz val="13"/>
      <color theme="1" tint="4.9989318521683403E-2"/>
      <name val="Times New Roman"/>
      <family val="1"/>
    </font>
    <font>
      <sz val="13"/>
      <color theme="1" tint="4.9989318521683403E-2"/>
      <name val="Times New Roman"/>
      <family val="1"/>
    </font>
    <font>
      <b/>
      <i/>
      <sz val="13"/>
      <color theme="1"/>
      <name val="Times New Roman"/>
      <family val="1"/>
    </font>
    <font>
      <i/>
      <sz val="13"/>
      <color theme="1"/>
      <name val="Times New Roman"/>
      <family val="1"/>
    </font>
    <font>
      <i/>
      <sz val="12"/>
      <color rgb="FF000000"/>
      <name val="Times New Roman"/>
      <family val="1"/>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diagonal/>
    </border>
    <border>
      <left/>
      <right/>
      <top style="thin">
        <color auto="1"/>
      </top>
      <bottom/>
      <diagonal/>
    </border>
  </borders>
  <cellStyleXfs count="4">
    <xf numFmtId="0" fontId="0" fillId="0" borderId="0"/>
    <xf numFmtId="43" fontId="1" fillId="0" borderId="0" applyFont="0" applyFill="0" applyBorder="0" applyAlignment="0" applyProtection="0"/>
    <xf numFmtId="0" fontId="1" fillId="0" borderId="0"/>
    <xf numFmtId="0" fontId="6" fillId="0" borderId="0" applyNumberFormat="0" applyFill="0" applyBorder="0" applyAlignment="0" applyProtection="0">
      <alignment vertical="center"/>
    </xf>
  </cellStyleXfs>
  <cellXfs count="89">
    <xf numFmtId="0" fontId="0" fillId="0" borderId="0" xfId="0"/>
    <xf numFmtId="0" fontId="1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0" fillId="0" borderId="0" xfId="0" applyFont="1" applyAlignment="1">
      <alignment horizontal="center" vertical="center"/>
    </xf>
    <xf numFmtId="0" fontId="16" fillId="0" borderId="0" xfId="0" applyFont="1" applyAlignment="1">
      <alignment horizontal="center" vertical="center"/>
    </xf>
    <xf numFmtId="164" fontId="0" fillId="0" borderId="0" xfId="1" applyNumberFormat="1" applyFont="1"/>
    <xf numFmtId="0" fontId="11" fillId="0" borderId="0" xfId="0" applyFont="1" applyAlignment="1">
      <alignment vertical="center"/>
    </xf>
    <xf numFmtId="0" fontId="19" fillId="0" borderId="0" xfId="0" applyFont="1"/>
    <xf numFmtId="0" fontId="17" fillId="0" borderId="4" xfId="0" applyFont="1" applyBorder="1" applyAlignment="1">
      <alignment horizontal="left" vertical="center"/>
    </xf>
    <xf numFmtId="0" fontId="0" fillId="3" borderId="0" xfId="0" applyFill="1"/>
    <xf numFmtId="164" fontId="0" fillId="0" borderId="0" xfId="1" applyNumberFormat="1" applyFont="1" applyAlignment="1">
      <alignment horizontal="center"/>
    </xf>
    <xf numFmtId="0" fontId="18" fillId="0" borderId="0" xfId="0" applyFont="1"/>
    <xf numFmtId="0" fontId="21" fillId="0" borderId="0" xfId="0" applyFont="1"/>
    <xf numFmtId="0" fontId="3" fillId="0" borderId="0" xfId="2" applyFont="1"/>
    <xf numFmtId="0" fontId="3" fillId="3" borderId="2" xfId="2" applyFont="1" applyFill="1" applyBorder="1" applyAlignment="1">
      <alignment horizontal="center" vertical="center"/>
    </xf>
    <xf numFmtId="0" fontId="3" fillId="3" borderId="2" xfId="2" applyFont="1" applyFill="1" applyBorder="1" applyAlignment="1">
      <alignment horizontal="left" vertical="center"/>
    </xf>
    <xf numFmtId="164" fontId="0" fillId="0" borderId="0" xfId="1" applyNumberFormat="1" applyFont="1" applyAlignment="1">
      <alignment horizontal="center" vertical="center"/>
    </xf>
    <xf numFmtId="164" fontId="17" fillId="0" borderId="0" xfId="1" applyNumberFormat="1" applyFont="1" applyAlignment="1">
      <alignment vertical="center"/>
    </xf>
    <xf numFmtId="0" fontId="22" fillId="0" borderId="0" xfId="2" applyFont="1" applyAlignment="1">
      <alignment vertical="center"/>
    </xf>
    <xf numFmtId="165" fontId="3" fillId="0" borderId="0" xfId="2" applyNumberFormat="1" applyFont="1" applyAlignment="1">
      <alignment horizontal="center" vertical="center"/>
    </xf>
    <xf numFmtId="0" fontId="20" fillId="0" borderId="0" xfId="2" applyFont="1"/>
    <xf numFmtId="0" fontId="3" fillId="2" borderId="2" xfId="0" applyFont="1" applyFill="1" applyBorder="1" applyAlignment="1">
      <alignment horizontal="center" vertical="center"/>
    </xf>
    <xf numFmtId="0" fontId="23" fillId="0" borderId="0" xfId="0" applyFont="1"/>
    <xf numFmtId="0" fontId="24" fillId="0" borderId="0" xfId="0" applyFont="1"/>
    <xf numFmtId="0" fontId="17" fillId="0" borderId="0" xfId="0" applyFont="1"/>
    <xf numFmtId="0" fontId="12"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vertical="center"/>
    </xf>
    <xf numFmtId="0" fontId="4" fillId="0" borderId="0" xfId="2" applyFont="1"/>
    <xf numFmtId="0" fontId="25" fillId="0" borderId="0" xfId="0" applyFont="1"/>
    <xf numFmtId="0" fontId="3" fillId="3" borderId="2" xfId="2" applyFont="1" applyFill="1" applyBorder="1" applyAlignment="1">
      <alignment horizontal="left" vertical="center" wrapText="1"/>
    </xf>
    <xf numFmtId="0" fontId="2" fillId="0" borderId="0" xfId="0" applyFont="1" applyAlignment="1">
      <alignment vertical="center"/>
    </xf>
    <xf numFmtId="0" fontId="5" fillId="3" borderId="2" xfId="2" applyFont="1" applyFill="1" applyBorder="1" applyAlignment="1">
      <alignment horizontal="center" vertical="center"/>
    </xf>
    <xf numFmtId="0" fontId="5" fillId="3" borderId="2" xfId="2" applyFont="1" applyFill="1" applyBorder="1" applyAlignment="1">
      <alignment horizontal="center" vertical="center" wrapText="1"/>
    </xf>
    <xf numFmtId="164" fontId="5" fillId="3" borderId="2" xfId="1" applyNumberFormat="1" applyFont="1" applyFill="1" applyBorder="1" applyAlignment="1">
      <alignment horizontal="center" vertical="center"/>
    </xf>
    <xf numFmtId="0" fontId="8" fillId="0" borderId="0" xfId="0" applyFont="1" applyAlignment="1">
      <alignment vertical="center"/>
    </xf>
    <xf numFmtId="0" fontId="26" fillId="0" borderId="2" xfId="0" applyFont="1" applyBorder="1" applyAlignment="1">
      <alignment horizontal="center" vertical="center"/>
    </xf>
    <xf numFmtId="0" fontId="26" fillId="0" borderId="2" xfId="0" applyFont="1" applyBorder="1"/>
    <xf numFmtId="164" fontId="26" fillId="0" borderId="2" xfId="1" applyNumberFormat="1" applyFont="1" applyBorder="1"/>
    <xf numFmtId="164" fontId="26" fillId="0" borderId="2" xfId="1" applyNumberFormat="1" applyFont="1" applyFill="1" applyBorder="1"/>
    <xf numFmtId="0" fontId="26" fillId="0" borderId="2" xfId="0" applyFont="1" applyBorder="1" applyAlignment="1">
      <alignment horizontal="center"/>
    </xf>
    <xf numFmtId="0" fontId="2" fillId="0" borderId="0" xfId="0" applyFont="1" applyAlignment="1">
      <alignment horizontal="center" vertical="center"/>
    </xf>
    <xf numFmtId="0" fontId="27" fillId="0" borderId="2" xfId="0" applyFont="1" applyBorder="1"/>
    <xf numFmtId="0" fontId="28" fillId="0" borderId="0" xfId="0" applyFont="1" applyAlignment="1">
      <alignment horizontal="center" vertical="center"/>
    </xf>
    <xf numFmtId="164" fontId="2" fillId="0" borderId="0" xfId="1" applyNumberFormat="1" applyFont="1"/>
    <xf numFmtId="0" fontId="2" fillId="0" borderId="0" xfId="0" applyFont="1" applyAlignment="1">
      <alignment horizontal="center" vertical="center" wrapText="1"/>
    </xf>
    <xf numFmtId="0" fontId="25" fillId="0" borderId="0" xfId="2" applyFont="1" applyAlignment="1">
      <alignment horizontal="left" vertical="center"/>
    </xf>
    <xf numFmtId="0" fontId="2" fillId="0" borderId="0" xfId="0" applyFont="1"/>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9" fillId="4" borderId="2" xfId="0" applyFont="1" applyFill="1" applyBorder="1" applyAlignment="1">
      <alignment horizontal="center" vertical="center" wrapText="1"/>
    </xf>
    <xf numFmtId="0" fontId="17" fillId="5" borderId="2" xfId="0" applyFont="1" applyFill="1" applyBorder="1" applyAlignment="1">
      <alignment horizontal="center" vertical="center"/>
    </xf>
    <xf numFmtId="0" fontId="15" fillId="0" borderId="0" xfId="0" applyFont="1" applyAlignment="1">
      <alignment horizontal="center"/>
    </xf>
    <xf numFmtId="0" fontId="12" fillId="0" borderId="0" xfId="0" applyFont="1" applyAlignment="1">
      <alignment horizontal="center" vertical="center"/>
    </xf>
    <xf numFmtId="0" fontId="11" fillId="0" borderId="0" xfId="0" applyFont="1" applyAlignment="1">
      <alignment horizontal="center" vertical="center"/>
    </xf>
    <xf numFmtId="0" fontId="13" fillId="0" borderId="0" xfId="3" applyFont="1" applyAlignment="1">
      <alignment horizontal="center" vertical="center"/>
    </xf>
    <xf numFmtId="0" fontId="8" fillId="0" borderId="0" xfId="0" applyFont="1" applyAlignment="1">
      <alignment horizontal="left" vertical="center" wrapText="1"/>
    </xf>
    <xf numFmtId="0" fontId="3" fillId="2" borderId="1" xfId="2" applyFont="1" applyFill="1" applyBorder="1" applyAlignment="1">
      <alignment horizontal="center" vertical="center"/>
    </xf>
    <xf numFmtId="0" fontId="3" fillId="2" borderId="5" xfId="2" applyFont="1" applyFill="1" applyBorder="1" applyAlignment="1">
      <alignment horizontal="center" vertical="center"/>
    </xf>
    <xf numFmtId="0" fontId="3" fillId="2" borderId="1" xfId="2" applyFont="1" applyFill="1" applyBorder="1" applyAlignment="1">
      <alignment horizontal="center" vertical="center" wrapText="1"/>
    </xf>
    <xf numFmtId="0" fontId="3" fillId="2" borderId="5" xfId="2" applyFont="1" applyFill="1" applyBorder="1" applyAlignment="1">
      <alignment horizontal="center" vertical="center" wrapText="1"/>
    </xf>
    <xf numFmtId="0" fontId="9" fillId="2" borderId="1" xfId="2" applyFont="1" applyFill="1" applyBorder="1" applyAlignment="1">
      <alignment horizontal="center" vertical="center"/>
    </xf>
    <xf numFmtId="0" fontId="9" fillId="2" borderId="3" xfId="2" applyFont="1" applyFill="1" applyBorder="1" applyAlignment="1">
      <alignment horizontal="center" vertical="center"/>
    </xf>
    <xf numFmtId="0" fontId="7" fillId="0" borderId="0" xfId="0" applyFont="1" applyAlignment="1">
      <alignment horizontal="left" vertical="center"/>
    </xf>
    <xf numFmtId="0" fontId="17" fillId="0" borderId="4" xfId="0" applyFont="1" applyBorder="1" applyAlignment="1">
      <alignment horizontal="center" vertical="center"/>
    </xf>
    <xf numFmtId="0" fontId="18" fillId="0" borderId="0" xfId="0" applyFont="1"/>
    <xf numFmtId="0" fontId="11" fillId="0" borderId="0" xfId="0" applyFont="1" applyAlignment="1">
      <alignment horizontal="right" vertical="center"/>
    </xf>
    <xf numFmtId="164" fontId="30" fillId="0" borderId="0" xfId="1" quotePrefix="1" applyNumberFormat="1" applyFont="1" applyBorder="1" applyAlignment="1">
      <alignment horizontal="center" vertical="center" wrapText="1"/>
    </xf>
    <xf numFmtId="0" fontId="31" fillId="2"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5" fillId="0" borderId="0" xfId="0" applyFont="1" applyAlignment="1">
      <alignment horizontal="left" vertical="center" wrapText="1"/>
    </xf>
    <xf numFmtId="0" fontId="32" fillId="0" borderId="0" xfId="0" applyFont="1" applyAlignment="1">
      <alignment horizontal="center"/>
    </xf>
    <xf numFmtId="0" fontId="25" fillId="0" borderId="0" xfId="2" applyFont="1" applyAlignment="1">
      <alignment horizontal="center" vertical="center"/>
    </xf>
    <xf numFmtId="0" fontId="3" fillId="0" borderId="0" xfId="0" applyFont="1" applyAlignment="1">
      <alignment horizontal="center" vertical="top"/>
    </xf>
    <xf numFmtId="0" fontId="3" fillId="2" borderId="2" xfId="0" applyFont="1" applyFill="1" applyBorder="1" applyAlignment="1">
      <alignment horizontal="center" vertical="center" wrapText="1"/>
    </xf>
    <xf numFmtId="0" fontId="3" fillId="0" borderId="0" xfId="0" applyFont="1" applyAlignment="1">
      <alignment horizontal="center"/>
    </xf>
    <xf numFmtId="0" fontId="33" fillId="0" borderId="0" xfId="0" applyFont="1" applyAlignment="1">
      <alignment horizontal="left" vertical="center" wrapText="1"/>
    </xf>
    <xf numFmtId="0" fontId="33" fillId="0" borderId="0" xfId="0" applyFont="1" applyAlignment="1">
      <alignment horizontal="left" vertical="center"/>
    </xf>
    <xf numFmtId="0" fontId="27" fillId="0" borderId="0" xfId="0" applyFont="1" applyAlignment="1">
      <alignment horizontal="left" vertical="center" wrapText="1"/>
    </xf>
    <xf numFmtId="0" fontId="37" fillId="5" borderId="2" xfId="0" applyFont="1" applyFill="1" applyBorder="1" applyAlignment="1">
      <alignment horizontal="center" vertical="center" wrapText="1"/>
    </xf>
    <xf numFmtId="0" fontId="37" fillId="5" borderId="2" xfId="0" applyFont="1" applyFill="1" applyBorder="1" applyAlignment="1">
      <alignment horizontal="center" vertical="center"/>
    </xf>
    <xf numFmtId="0" fontId="35" fillId="4" borderId="2" xfId="0" applyFont="1" applyFill="1" applyBorder="1" applyAlignment="1">
      <alignment horizontal="left" vertical="center" wrapText="1"/>
    </xf>
    <xf numFmtId="0" fontId="17" fillId="3" borderId="6" xfId="0" applyFont="1" applyFill="1" applyBorder="1" applyAlignment="1">
      <alignment horizontal="center" vertical="center"/>
    </xf>
    <xf numFmtId="0" fontId="37" fillId="3" borderId="6" xfId="0" applyFont="1" applyFill="1" applyBorder="1" applyAlignment="1">
      <alignment horizontal="center" vertical="center" wrapText="1"/>
    </xf>
    <xf numFmtId="0" fontId="37" fillId="3" borderId="6" xfId="0" applyFont="1" applyFill="1" applyBorder="1" applyAlignment="1">
      <alignment horizontal="center" vertical="center"/>
    </xf>
    <xf numFmtId="164" fontId="9" fillId="0" borderId="0" xfId="1" applyNumberFormat="1" applyFont="1" applyBorder="1" applyAlignment="1">
      <alignment horizontal="center" vertical="center"/>
    </xf>
    <xf numFmtId="0" fontId="12" fillId="0" borderId="0" xfId="0" applyFont="1" applyAlignment="1">
      <alignment vertical="center"/>
    </xf>
    <xf numFmtId="0" fontId="13" fillId="0" borderId="0" xfId="3" applyFont="1" applyAlignment="1">
      <alignment vertical="center"/>
    </xf>
  </cellXfs>
  <cellStyles count="4">
    <cellStyle name="Comma" xfId="1" builtinId="3"/>
    <cellStyle name="Hyperlink" xfId="3" builtinId="8"/>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2.wdp"/><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microsoft.com/office/2007/relationships/hdphoto" Target="../media/hdphoto2.wdp"/><Relationship Id="rId2" Type="http://schemas.openxmlformats.org/officeDocument/2006/relationships/image" Target="../media/image3.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3175</xdr:colOff>
      <xdr:row>0</xdr:row>
      <xdr:rowOff>418424</xdr:rowOff>
    </xdr:from>
    <xdr:to>
      <xdr:col>1</xdr:col>
      <xdr:colOff>1606551</xdr:colOff>
      <xdr:row>5</xdr:row>
      <xdr:rowOff>292099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4675" y="418424"/>
          <a:ext cx="1603376" cy="1207175"/>
        </a:xfrm>
        <a:prstGeom prst="rect">
          <a:avLst/>
        </a:prstGeom>
      </xdr:spPr>
    </xdr:pic>
    <xdr:clientData/>
  </xdr:twoCellAnchor>
  <xdr:twoCellAnchor editAs="oneCell">
    <xdr:from>
      <xdr:col>1</xdr:col>
      <xdr:colOff>4026466</xdr:colOff>
      <xdr:row>26</xdr:row>
      <xdr:rowOff>248369</xdr:rowOff>
    </xdr:from>
    <xdr:to>
      <xdr:col>4</xdr:col>
      <xdr:colOff>977900</xdr:colOff>
      <xdr:row>37</xdr:row>
      <xdr:rowOff>25400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4597966" y="10859219"/>
          <a:ext cx="3466534" cy="2164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206376</xdr:colOff>
      <xdr:row>1</xdr:row>
      <xdr:rowOff>79374</xdr:rowOff>
    </xdr:from>
    <xdr:to>
      <xdr:col>1</xdr:col>
      <xdr:colOff>1006475</xdr:colOff>
      <xdr:row>5</xdr:row>
      <xdr:rowOff>177800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376" y="301624"/>
          <a:ext cx="1441449" cy="1127126"/>
        </a:xfrm>
        <a:prstGeom prst="rect">
          <a:avLst/>
        </a:prstGeom>
      </xdr:spPr>
    </xdr:pic>
    <xdr:clientData/>
  </xdr:twoCellAnchor>
  <xdr:twoCellAnchor editAs="oneCell">
    <xdr:from>
      <xdr:col>6</xdr:col>
      <xdr:colOff>0</xdr:colOff>
      <xdr:row>39</xdr:row>
      <xdr:rowOff>0</xdr:rowOff>
    </xdr:from>
    <xdr:to>
      <xdr:col>6</xdr:col>
      <xdr:colOff>304800</xdr:colOff>
      <xdr:row>40</xdr:row>
      <xdr:rowOff>114300</xdr:rowOff>
    </xdr:to>
    <xdr:sp macro="" textlink="">
      <xdr:nvSpPr>
        <xdr:cNvPr id="2049" name="AutoShape 1" descr="https://chatgpt.com/backend-api/estuary/content?id=file_00000000205c620980ee662f4a270b0a&amp;ts=489033&amp;p=fs&amp;cid=1&amp;sig=9759429c4dcb0003c89a9a901f8fac39d790e4a26654c0244f5800baf5e9226f&amp;v=0">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9029700" y="1713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243519</xdr:colOff>
      <xdr:row>30</xdr:row>
      <xdr:rowOff>38100</xdr:rowOff>
    </xdr:from>
    <xdr:to>
      <xdr:col>8</xdr:col>
      <xdr:colOff>952500</xdr:colOff>
      <xdr:row>41</xdr:row>
      <xdr:rowOff>67208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4847269" y="9804400"/>
          <a:ext cx="3407731" cy="20547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158750</xdr:rowOff>
    </xdr:from>
    <xdr:to>
      <xdr:col>1</xdr:col>
      <xdr:colOff>1060450</xdr:colOff>
      <xdr:row>6</xdr:row>
      <xdr:rowOff>31750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8750"/>
          <a:ext cx="1670050" cy="1295400"/>
        </a:xfrm>
        <a:prstGeom prst="rect">
          <a:avLst/>
        </a:prstGeom>
      </xdr:spPr>
    </xdr:pic>
    <xdr:clientData/>
  </xdr:twoCellAnchor>
  <xdr:twoCellAnchor editAs="oneCell">
    <xdr:from>
      <xdr:col>6</xdr:col>
      <xdr:colOff>0</xdr:colOff>
      <xdr:row>28</xdr:row>
      <xdr:rowOff>0</xdr:rowOff>
    </xdr:from>
    <xdr:to>
      <xdr:col>6</xdr:col>
      <xdr:colOff>304800</xdr:colOff>
      <xdr:row>28</xdr:row>
      <xdr:rowOff>298450</xdr:rowOff>
    </xdr:to>
    <xdr:sp macro="" textlink="">
      <xdr:nvSpPr>
        <xdr:cNvPr id="3" name="AutoShape 1" descr="https://chatgpt.com/backend-api/estuary/content?id=file_00000000205c620980ee662f4a270b0a&amp;ts=489033&amp;p=fs&amp;cid=1&amp;sig=9759429c4dcb0003c89a9a901f8fac39d790e4a26654c0244f5800baf5e9226f&amp;v=0">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5949950" y="114109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171451</xdr:colOff>
      <xdr:row>22</xdr:row>
      <xdr:rowOff>234950</xdr:rowOff>
    </xdr:from>
    <xdr:to>
      <xdr:col>5</xdr:col>
      <xdr:colOff>2120901</xdr:colOff>
      <xdr:row>27</xdr:row>
      <xdr:rowOff>224763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4667251" y="8731250"/>
          <a:ext cx="2984500" cy="1799563"/>
        </a:xfrm>
        <a:prstGeom prst="rect">
          <a:avLst/>
        </a:prstGeom>
      </xdr:spPr>
    </xdr:pic>
    <xdr:clientData/>
  </xdr:twoCellAnchor>
  <xdr:twoCellAnchor>
    <xdr:from>
      <xdr:col>0</xdr:col>
      <xdr:colOff>0</xdr:colOff>
      <xdr:row>19</xdr:row>
      <xdr:rowOff>31750</xdr:rowOff>
    </xdr:from>
    <xdr:to>
      <xdr:col>5</xdr:col>
      <xdr:colOff>2368549</xdr:colOff>
      <xdr:row>21</xdr:row>
      <xdr:rowOff>0</xdr:rowOff>
    </xdr:to>
    <xdr:sp macro="" textlink="">
      <xdr:nvSpPr>
        <xdr:cNvPr id="5" name="TextBox 4">
          <a:extLst>
            <a:ext uri="{FF2B5EF4-FFF2-40B4-BE49-F238E27FC236}">
              <a16:creationId xmlns:a16="http://schemas.microsoft.com/office/drawing/2014/main" id="{B0C2FAE0-07F8-0F9F-C960-9B9336B9EBD0}"/>
            </a:ext>
          </a:extLst>
        </xdr:cNvPr>
        <xdr:cNvSpPr txBox="1"/>
      </xdr:nvSpPr>
      <xdr:spPr>
        <a:xfrm>
          <a:off x="0" y="5911850"/>
          <a:ext cx="7899399" cy="831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300" b="1" i="0" u="none" strike="noStrike">
              <a:solidFill>
                <a:schemeClr val="dk1"/>
              </a:solidFill>
              <a:effectLst/>
              <a:latin typeface="+mj-lt"/>
              <a:ea typeface="+mn-ea"/>
              <a:cs typeface="+mn-cs"/>
            </a:rPr>
            <a:t>KHÁCH HÀNG FRAM CỦA OMRI</a:t>
          </a:r>
          <a:r>
            <a:rPr lang="en-US" sz="1300" b="0" i="0" u="none" strike="noStrike">
              <a:solidFill>
                <a:schemeClr val="dk1"/>
              </a:solidFill>
              <a:effectLst/>
              <a:latin typeface="+mj-lt"/>
              <a:ea typeface="+mn-ea"/>
              <a:cs typeface="+mn-cs"/>
            </a:rPr>
            <a:t>: </a:t>
          </a:r>
          <a:r>
            <a:rPr lang="vi-VN" sz="1300" b="0" i="0" u="none" strike="noStrike">
              <a:solidFill>
                <a:schemeClr val="dk1"/>
              </a:solidFill>
              <a:effectLst/>
              <a:latin typeface="+mj-lt"/>
              <a:ea typeface="+mn-ea"/>
              <a:cs typeface="+mn-cs"/>
            </a:rPr>
            <a:t>Được nhận bằng khen thành tích suất sắc danh hiệu ''KẾT NỐI NÔNG NGHIỆP XANH'' Của công ty </a:t>
          </a:r>
          <a:r>
            <a:rPr lang="vi-VN" sz="1300">
              <a:effectLst/>
              <a:latin typeface="+mj-lt"/>
            </a:rPr>
            <a:t> </a:t>
          </a:r>
          <a:r>
            <a:rPr lang="vi-VN" sz="1300" b="0" i="0" u="none" strike="noStrike">
              <a:solidFill>
                <a:schemeClr val="dk1"/>
              </a:solidFill>
              <a:effectLst/>
              <a:latin typeface="+mj-lt"/>
              <a:ea typeface="+mn-ea"/>
              <a:cs typeface="+mn-cs"/>
            </a:rPr>
            <a:t>và phần quà trị giá 2.200.000. Điều kiện áp dụng: - Fram được chia sẽ tin tưởng và đồng hành sử dụng ít nhất 1 sản phẩm trong bộ sản phẩm của hãng OMRI GROUP xuyên suốt 1 năm</a:t>
          </a:r>
          <a:r>
            <a:rPr lang="vi-VN" sz="1300">
              <a:effectLst/>
              <a:latin typeface="+mj-lt"/>
            </a:rPr>
            <a:t> </a:t>
          </a:r>
          <a:endParaRPr lang="en-US" sz="1300">
            <a:latin typeface="+mj-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omrigroup.vn/-%20hotlin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omrigroup.vn/-%20hot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
  <sheetViews>
    <sheetView tabSelected="1" zoomScaleNormal="100" workbookViewId="0">
      <selection activeCell="G7" sqref="G7"/>
    </sheetView>
  </sheetViews>
  <sheetFormatPr defaultRowHeight="14.5"/>
  <cols>
    <col min="1" max="1" width="8.1796875" customWidth="1"/>
    <col min="2" max="2" width="64.1796875" customWidth="1"/>
    <col min="3" max="3" width="16.7265625" customWidth="1"/>
    <col min="4" max="4" width="12.36328125" customWidth="1"/>
    <col min="5" max="5" width="19.7265625" customWidth="1"/>
  </cols>
  <sheetData>
    <row r="1" spans="1:27" ht="33" customHeight="1">
      <c r="A1" s="1"/>
      <c r="B1" s="55" t="s">
        <v>5</v>
      </c>
      <c r="C1" s="55"/>
      <c r="D1" s="55"/>
      <c r="E1" s="55"/>
    </row>
    <row r="2" spans="1:27" ht="17.5">
      <c r="A2" s="2"/>
      <c r="B2" s="55" t="s">
        <v>8</v>
      </c>
      <c r="C2" s="55"/>
      <c r="D2" s="55"/>
      <c r="E2" s="55"/>
    </row>
    <row r="3" spans="1:27">
      <c r="A3" s="2"/>
      <c r="B3" s="54" t="s">
        <v>18</v>
      </c>
      <c r="C3" s="54"/>
      <c r="D3" s="54"/>
      <c r="E3" s="54"/>
    </row>
    <row r="4" spans="1:27" ht="25.5" customHeight="1">
      <c r="A4" s="2"/>
      <c r="B4" s="56" t="s">
        <v>52</v>
      </c>
      <c r="C4" s="56"/>
      <c r="D4" s="56"/>
      <c r="E4" s="56"/>
    </row>
    <row r="5" spans="1:27">
      <c r="A5" s="2"/>
      <c r="B5" s="3"/>
      <c r="C5" s="54"/>
      <c r="D5" s="54"/>
      <c r="E5" s="54"/>
    </row>
    <row r="6" spans="1:27" ht="34.5" customHeight="1">
      <c r="A6" s="4"/>
      <c r="B6" s="53" t="s">
        <v>2</v>
      </c>
      <c r="C6" s="53"/>
      <c r="D6" s="53"/>
      <c r="E6" s="53"/>
    </row>
    <row r="7" spans="1:27" ht="30.75" customHeight="1">
      <c r="A7" s="2"/>
      <c r="B7" s="64" t="s">
        <v>35</v>
      </c>
      <c r="C7" s="64"/>
      <c r="D7" s="64"/>
      <c r="E7" s="64"/>
    </row>
    <row r="8" spans="1:27" ht="41.5" customHeight="1">
      <c r="A8" s="77" t="s">
        <v>88</v>
      </c>
      <c r="B8" s="78"/>
      <c r="C8" s="78"/>
      <c r="D8" s="78"/>
      <c r="E8" s="78"/>
    </row>
    <row r="9" spans="1:27" ht="35.5" customHeight="1">
      <c r="A9" s="77" t="s">
        <v>89</v>
      </c>
      <c r="B9" s="78"/>
      <c r="C9" s="78"/>
      <c r="D9" s="78"/>
      <c r="E9" s="78"/>
      <c r="F9" s="32"/>
      <c r="G9" s="32"/>
      <c r="H9" s="32"/>
      <c r="I9" s="32"/>
      <c r="J9" s="32"/>
      <c r="K9" s="32"/>
      <c r="L9" s="32"/>
      <c r="M9" s="32"/>
      <c r="N9" s="32"/>
      <c r="O9" s="32"/>
      <c r="P9" s="32"/>
      <c r="Q9" s="32"/>
      <c r="R9" s="32"/>
      <c r="S9" s="32"/>
      <c r="T9" s="32"/>
      <c r="U9" s="32"/>
      <c r="V9" s="32"/>
      <c r="W9" s="32"/>
      <c r="X9" s="32"/>
      <c r="Y9" s="32"/>
      <c r="Z9" s="32"/>
      <c r="AA9" s="32"/>
    </row>
    <row r="10" spans="1:27" ht="15" customHeight="1">
      <c r="B10" s="9"/>
      <c r="C10" s="9"/>
      <c r="D10" s="9"/>
      <c r="E10" s="9"/>
    </row>
    <row r="11" spans="1:27" ht="33.75" customHeight="1">
      <c r="A11" s="58" t="s">
        <v>0</v>
      </c>
      <c r="B11" s="58" t="s">
        <v>1</v>
      </c>
      <c r="C11" s="58" t="s">
        <v>3</v>
      </c>
      <c r="D11" s="60" t="s">
        <v>4</v>
      </c>
      <c r="E11" s="62" t="s">
        <v>17</v>
      </c>
    </row>
    <row r="12" spans="1:27" ht="2" customHeight="1">
      <c r="A12" s="59"/>
      <c r="B12" s="59"/>
      <c r="C12" s="59"/>
      <c r="D12" s="61"/>
      <c r="E12" s="63"/>
    </row>
    <row r="13" spans="1:27" s="10" customFormat="1" ht="43.5" customHeight="1">
      <c r="A13" s="15">
        <v>1</v>
      </c>
      <c r="B13" s="31" t="s">
        <v>36</v>
      </c>
      <c r="C13" s="33" t="s">
        <v>9</v>
      </c>
      <c r="D13" s="34" t="s">
        <v>12</v>
      </c>
      <c r="E13" s="35">
        <v>9200000</v>
      </c>
    </row>
    <row r="14" spans="1:27" s="10" customFormat="1" ht="43.5" customHeight="1">
      <c r="A14" s="15">
        <v>2</v>
      </c>
      <c r="B14" s="31" t="s">
        <v>37</v>
      </c>
      <c r="C14" s="33" t="s">
        <v>9</v>
      </c>
      <c r="D14" s="34" t="s">
        <v>12</v>
      </c>
      <c r="E14" s="35">
        <v>8700000</v>
      </c>
    </row>
    <row r="15" spans="1:27" s="10" customFormat="1" ht="43.5" customHeight="1">
      <c r="A15" s="15">
        <v>3</v>
      </c>
      <c r="B15" s="31" t="s">
        <v>38</v>
      </c>
      <c r="C15" s="33" t="s">
        <v>9</v>
      </c>
      <c r="D15" s="34" t="s">
        <v>12</v>
      </c>
      <c r="E15" s="35">
        <v>7300000</v>
      </c>
    </row>
    <row r="16" spans="1:27" s="10" customFormat="1" ht="43.5" customHeight="1">
      <c r="A16" s="15">
        <v>4</v>
      </c>
      <c r="B16" s="31" t="s">
        <v>39</v>
      </c>
      <c r="C16" s="33" t="s">
        <v>9</v>
      </c>
      <c r="D16" s="34" t="s">
        <v>12</v>
      </c>
      <c r="E16" s="35">
        <v>13500000</v>
      </c>
    </row>
    <row r="17" spans="1:5" s="10" customFormat="1" ht="43.5" customHeight="1">
      <c r="A17" s="15">
        <v>5</v>
      </c>
      <c r="B17" s="31" t="s">
        <v>40</v>
      </c>
      <c r="C17" s="33" t="s">
        <v>10</v>
      </c>
      <c r="D17" s="34" t="s">
        <v>12</v>
      </c>
      <c r="E17" s="35">
        <v>15000000</v>
      </c>
    </row>
    <row r="18" spans="1:5" s="10" customFormat="1" ht="94" customHeight="1">
      <c r="A18" s="15">
        <v>6</v>
      </c>
      <c r="B18" s="31" t="s">
        <v>47</v>
      </c>
      <c r="C18" s="33" t="s">
        <v>11</v>
      </c>
      <c r="D18" s="34" t="s">
        <v>12</v>
      </c>
      <c r="E18" s="35">
        <v>20500000</v>
      </c>
    </row>
    <row r="19" spans="1:5" s="10" customFormat="1" ht="31.5" customHeight="1">
      <c r="A19" s="15">
        <v>7</v>
      </c>
      <c r="B19" s="31" t="s">
        <v>85</v>
      </c>
      <c r="C19" s="33" t="s">
        <v>41</v>
      </c>
      <c r="D19" s="34" t="s">
        <v>42</v>
      </c>
      <c r="E19" s="35">
        <v>90000</v>
      </c>
    </row>
    <row r="20" spans="1:5" s="10" customFormat="1" ht="28.5" customHeight="1">
      <c r="A20" s="15">
        <v>8</v>
      </c>
      <c r="B20" s="16" t="s">
        <v>43</v>
      </c>
      <c r="C20" s="33" t="s">
        <v>41</v>
      </c>
      <c r="D20" s="34" t="s">
        <v>42</v>
      </c>
      <c r="E20" s="35">
        <v>50000</v>
      </c>
    </row>
    <row r="21" spans="1:5" s="10" customFormat="1" ht="28.5" customHeight="1">
      <c r="A21" s="15">
        <v>9</v>
      </c>
      <c r="B21" s="16" t="s">
        <v>44</v>
      </c>
      <c r="C21" s="33" t="s">
        <v>45</v>
      </c>
      <c r="D21" s="34" t="s">
        <v>42</v>
      </c>
      <c r="E21" s="35">
        <f>48000*5</f>
        <v>240000</v>
      </c>
    </row>
    <row r="22" spans="1:5" s="10" customFormat="1" ht="28" customHeight="1">
      <c r="A22" s="15">
        <v>10</v>
      </c>
      <c r="B22" s="16" t="s">
        <v>48</v>
      </c>
      <c r="C22" s="33" t="s">
        <v>41</v>
      </c>
      <c r="D22" s="34" t="s">
        <v>42</v>
      </c>
      <c r="E22" s="35">
        <v>40000</v>
      </c>
    </row>
    <row r="23" spans="1:5" s="10" customFormat="1" ht="26.5" customHeight="1">
      <c r="A23" s="15">
        <v>11</v>
      </c>
      <c r="B23" s="16" t="s">
        <v>49</v>
      </c>
      <c r="C23" s="33" t="s">
        <v>50</v>
      </c>
      <c r="D23" s="34" t="s">
        <v>51</v>
      </c>
      <c r="E23" s="35">
        <f>44000*5</f>
        <v>220000</v>
      </c>
    </row>
    <row r="24" spans="1:5" s="23" customFormat="1" ht="37.5" customHeight="1">
      <c r="A24" s="24" t="s">
        <v>33</v>
      </c>
      <c r="B24" s="24"/>
      <c r="C24" s="24"/>
      <c r="D24" s="24"/>
      <c r="E24" s="24"/>
    </row>
    <row r="25" spans="1:5" s="23" customFormat="1" ht="30" customHeight="1">
      <c r="A25" s="24" t="s">
        <v>34</v>
      </c>
      <c r="B25" s="24"/>
      <c r="C25" s="24"/>
      <c r="D25" s="24"/>
      <c r="E25" s="24"/>
    </row>
    <row r="26" spans="1:5" ht="22.5" customHeight="1">
      <c r="A26" s="25"/>
      <c r="B26" s="12"/>
      <c r="C26" s="47" t="s">
        <v>46</v>
      </c>
      <c r="D26" s="48"/>
    </row>
    <row r="27" spans="1:5" ht="22.5" customHeight="1">
      <c r="B27" s="12"/>
      <c r="C27" s="74" t="s">
        <v>65</v>
      </c>
      <c r="D27" s="74"/>
    </row>
    <row r="28" spans="1:5" ht="22.5" customHeight="1">
      <c r="E28" s="3"/>
    </row>
    <row r="29" spans="1:5" ht="27" customHeight="1">
      <c r="E29" s="3"/>
    </row>
    <row r="30" spans="1:5">
      <c r="E30" s="3"/>
    </row>
    <row r="31" spans="1:5">
      <c r="E31" s="3"/>
    </row>
    <row r="32" spans="1:5">
      <c r="E32" s="3"/>
    </row>
    <row r="33" spans="2:5">
      <c r="E33" s="3"/>
    </row>
    <row r="36" spans="2:5">
      <c r="B36" s="6"/>
    </row>
  </sheetData>
  <mergeCells count="15">
    <mergeCell ref="A9:E9"/>
    <mergeCell ref="C27:D27"/>
    <mergeCell ref="B6:E6"/>
    <mergeCell ref="C5:E5"/>
    <mergeCell ref="B1:E1"/>
    <mergeCell ref="B2:E2"/>
    <mergeCell ref="B3:E3"/>
    <mergeCell ref="B4:E4"/>
    <mergeCell ref="A8:E8"/>
    <mergeCell ref="A11:A12"/>
    <mergeCell ref="B11:B12"/>
    <mergeCell ref="C11:C12"/>
    <mergeCell ref="D11:D12"/>
    <mergeCell ref="E11:E12"/>
    <mergeCell ref="B7:E7"/>
  </mergeCells>
  <printOptions horizontalCentered="1"/>
  <pageMargins left="0.7" right="0.45" top="0.75" bottom="0.75" header="0.3" footer="0.3"/>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topLeftCell="A25" zoomScaleNormal="100" workbookViewId="0">
      <selection activeCell="L10" sqref="L10"/>
    </sheetView>
  </sheetViews>
  <sheetFormatPr defaultRowHeight="14.5"/>
  <cols>
    <col min="1" max="1" width="9.1796875" style="3"/>
    <col min="2" max="2" width="22.453125" style="42" customWidth="1"/>
    <col min="3" max="3" width="10.90625" style="3" customWidth="1"/>
    <col min="4" max="4" width="10.7265625" style="3" customWidth="1"/>
    <col min="5" max="5" width="10.36328125" style="11" customWidth="1"/>
    <col min="6" max="6" width="11.1796875" customWidth="1"/>
    <col min="7" max="7" width="13.453125" customWidth="1"/>
    <col min="8" max="8" width="14" style="3" customWidth="1"/>
    <col min="9" max="9" width="17" customWidth="1"/>
  </cols>
  <sheetData>
    <row r="1" spans="1:9" ht="17.5">
      <c r="A1" s="55" t="s">
        <v>13</v>
      </c>
      <c r="B1" s="55"/>
      <c r="C1" s="55"/>
      <c r="D1" s="55"/>
      <c r="E1" s="55"/>
      <c r="F1" s="55"/>
      <c r="G1" s="55"/>
      <c r="H1" s="55"/>
      <c r="I1" s="55"/>
    </row>
    <row r="2" spans="1:9" ht="17.5">
      <c r="A2" s="2"/>
      <c r="C2" s="7" t="s">
        <v>16</v>
      </c>
      <c r="D2" s="7"/>
      <c r="E2" s="7"/>
      <c r="F2" s="7"/>
      <c r="G2" s="7"/>
    </row>
    <row r="3" spans="1:9" ht="24" customHeight="1">
      <c r="A3" s="2"/>
      <c r="C3" s="87" t="s">
        <v>15</v>
      </c>
      <c r="D3" s="87"/>
      <c r="E3" s="87"/>
      <c r="F3" s="87"/>
      <c r="G3" s="87"/>
    </row>
    <row r="4" spans="1:9" ht="18.75" customHeight="1">
      <c r="A4" s="2"/>
      <c r="C4" s="88" t="s">
        <v>14</v>
      </c>
      <c r="D4" s="88"/>
      <c r="E4" s="88"/>
      <c r="F4" s="88"/>
      <c r="G4" s="88"/>
    </row>
    <row r="5" spans="1:9" ht="21" customHeight="1">
      <c r="A5" s="2"/>
      <c r="C5" s="54"/>
      <c r="D5" s="54"/>
      <c r="E5" s="54"/>
      <c r="F5" s="54"/>
      <c r="G5" s="54"/>
    </row>
    <row r="6" spans="1:9" ht="31">
      <c r="A6" s="4"/>
      <c r="B6" s="44"/>
      <c r="C6" s="53" t="s">
        <v>2</v>
      </c>
      <c r="D6" s="53"/>
      <c r="E6" s="53"/>
      <c r="F6" s="53"/>
      <c r="G6" s="53"/>
    </row>
    <row r="7" spans="1:9" ht="21.75" customHeight="1">
      <c r="A7" s="2"/>
      <c r="B7" s="64" t="s">
        <v>35</v>
      </c>
      <c r="C7" s="64"/>
      <c r="D7" s="64"/>
      <c r="E7" s="64"/>
      <c r="F7" s="5"/>
      <c r="G7" s="17"/>
    </row>
    <row r="8" spans="1:9" ht="35" customHeight="1">
      <c r="A8" s="77" t="s">
        <v>88</v>
      </c>
      <c r="B8" s="77"/>
      <c r="C8" s="77"/>
      <c r="D8" s="77"/>
      <c r="E8" s="77"/>
      <c r="F8" s="77"/>
      <c r="G8" s="77"/>
      <c r="H8" s="77"/>
      <c r="I8" s="77"/>
    </row>
    <row r="9" spans="1:9" ht="35.5" customHeight="1">
      <c r="A9" s="79" t="s">
        <v>89</v>
      </c>
      <c r="B9" s="79"/>
      <c r="C9" s="79"/>
      <c r="D9" s="79"/>
      <c r="E9" s="79"/>
      <c r="F9" s="79"/>
      <c r="G9" s="79"/>
      <c r="H9" s="79"/>
      <c r="I9" s="79"/>
    </row>
    <row r="10" spans="1:9" ht="22.5" customHeight="1">
      <c r="A10" s="65"/>
      <c r="B10" s="65"/>
      <c r="C10" s="65"/>
      <c r="D10" s="65"/>
      <c r="E10" s="65"/>
      <c r="F10" s="65"/>
      <c r="G10" s="18"/>
    </row>
    <row r="11" spans="1:9" ht="46.5" customHeight="1">
      <c r="A11" s="22" t="s">
        <v>0</v>
      </c>
      <c r="B11" s="22" t="s">
        <v>1</v>
      </c>
      <c r="C11" s="75" t="s">
        <v>87</v>
      </c>
      <c r="D11" s="75" t="s">
        <v>90</v>
      </c>
      <c r="E11" s="22" t="s">
        <v>61</v>
      </c>
      <c r="F11" s="75" t="s">
        <v>86</v>
      </c>
      <c r="G11" s="22" t="s">
        <v>62</v>
      </c>
      <c r="H11" s="22" t="s">
        <v>63</v>
      </c>
      <c r="I11" s="22" t="s">
        <v>7</v>
      </c>
    </row>
    <row r="12" spans="1:9" ht="33.75" customHeight="1">
      <c r="A12" s="37">
        <v>1</v>
      </c>
      <c r="B12" s="43" t="s">
        <v>53</v>
      </c>
      <c r="C12" s="41" t="s">
        <v>54</v>
      </c>
      <c r="D12" s="41" t="s">
        <v>24</v>
      </c>
      <c r="E12" s="41" t="s">
        <v>6</v>
      </c>
      <c r="F12" s="37">
        <v>20</v>
      </c>
      <c r="G12" s="39">
        <v>90000</v>
      </c>
      <c r="H12" s="39">
        <f>G12*F12</f>
        <v>1800000</v>
      </c>
      <c r="I12" s="38"/>
    </row>
    <row r="13" spans="1:9" ht="28.5" customHeight="1">
      <c r="A13" s="37">
        <v>2</v>
      </c>
      <c r="B13" s="43" t="s">
        <v>55</v>
      </c>
      <c r="C13" s="41" t="s">
        <v>54</v>
      </c>
      <c r="D13" s="41" t="s">
        <v>24</v>
      </c>
      <c r="E13" s="41" t="s">
        <v>6</v>
      </c>
      <c r="F13" s="37">
        <v>20</v>
      </c>
      <c r="G13" s="39">
        <v>93000</v>
      </c>
      <c r="H13" s="39">
        <f t="shared" ref="H13:H26" si="0">G13*F13</f>
        <v>1860000</v>
      </c>
      <c r="I13" s="38"/>
    </row>
    <row r="14" spans="1:9" ht="28.5" customHeight="1">
      <c r="A14" s="37">
        <v>3</v>
      </c>
      <c r="B14" s="43" t="s">
        <v>56</v>
      </c>
      <c r="C14" s="41" t="s">
        <v>54</v>
      </c>
      <c r="D14" s="41" t="s">
        <v>24</v>
      </c>
      <c r="E14" s="41" t="s">
        <v>6</v>
      </c>
      <c r="F14" s="37">
        <v>20</v>
      </c>
      <c r="G14" s="39">
        <v>97000</v>
      </c>
      <c r="H14" s="39">
        <f t="shared" si="0"/>
        <v>1940000</v>
      </c>
      <c r="I14" s="38"/>
    </row>
    <row r="15" spans="1:9" ht="28.5" customHeight="1">
      <c r="A15" s="37">
        <v>4</v>
      </c>
      <c r="B15" s="43" t="s">
        <v>23</v>
      </c>
      <c r="C15" s="41" t="s">
        <v>20</v>
      </c>
      <c r="D15" s="41" t="s">
        <v>25</v>
      </c>
      <c r="E15" s="41" t="s">
        <v>6</v>
      </c>
      <c r="F15" s="37">
        <v>40</v>
      </c>
      <c r="G15" s="39">
        <v>65000</v>
      </c>
      <c r="H15" s="39">
        <f t="shared" si="0"/>
        <v>2600000</v>
      </c>
      <c r="I15" s="38"/>
    </row>
    <row r="16" spans="1:9" ht="28.5" customHeight="1">
      <c r="A16" s="37">
        <v>5</v>
      </c>
      <c r="B16" s="43" t="s">
        <v>23</v>
      </c>
      <c r="C16" s="41" t="s">
        <v>20</v>
      </c>
      <c r="D16" s="41" t="s">
        <v>24</v>
      </c>
      <c r="E16" s="41" t="s">
        <v>6</v>
      </c>
      <c r="F16" s="37">
        <v>20</v>
      </c>
      <c r="G16" s="39">
        <v>120000</v>
      </c>
      <c r="H16" s="39">
        <f t="shared" si="0"/>
        <v>2400000</v>
      </c>
      <c r="I16" s="38"/>
    </row>
    <row r="17" spans="1:18" ht="28.5" customHeight="1">
      <c r="A17" s="37">
        <v>6</v>
      </c>
      <c r="B17" s="43" t="s">
        <v>57</v>
      </c>
      <c r="C17" s="41" t="s">
        <v>20</v>
      </c>
      <c r="D17" s="41" t="s">
        <v>24</v>
      </c>
      <c r="E17" s="41" t="s">
        <v>6</v>
      </c>
      <c r="F17" s="37">
        <v>20</v>
      </c>
      <c r="G17" s="39">
        <v>75000</v>
      </c>
      <c r="H17" s="39">
        <f t="shared" si="0"/>
        <v>1500000</v>
      </c>
      <c r="I17" s="38" t="s">
        <v>64</v>
      </c>
    </row>
    <row r="18" spans="1:18" ht="28.5" customHeight="1">
      <c r="A18" s="37">
        <v>7</v>
      </c>
      <c r="B18" s="43" t="s">
        <v>58</v>
      </c>
      <c r="C18" s="41" t="s">
        <v>20</v>
      </c>
      <c r="D18" s="41" t="s">
        <v>21</v>
      </c>
      <c r="E18" s="41" t="s">
        <v>22</v>
      </c>
      <c r="F18" s="37">
        <v>4</v>
      </c>
      <c r="G18" s="39">
        <v>350000</v>
      </c>
      <c r="H18" s="39">
        <f t="shared" si="0"/>
        <v>1400000</v>
      </c>
      <c r="I18" s="38" t="s">
        <v>64</v>
      </c>
    </row>
    <row r="19" spans="1:18" ht="28.5" customHeight="1">
      <c r="A19" s="37">
        <v>8</v>
      </c>
      <c r="B19" s="43" t="s">
        <v>28</v>
      </c>
      <c r="C19" s="41" t="s">
        <v>20</v>
      </c>
      <c r="D19" s="41" t="s">
        <v>24</v>
      </c>
      <c r="E19" s="41" t="s">
        <v>6</v>
      </c>
      <c r="F19" s="37">
        <v>20</v>
      </c>
      <c r="G19" s="39">
        <v>117000</v>
      </c>
      <c r="H19" s="39">
        <f t="shared" si="0"/>
        <v>2340000</v>
      </c>
      <c r="I19" s="38"/>
    </row>
    <row r="20" spans="1:18" ht="28.5" customHeight="1">
      <c r="A20" s="37">
        <v>9</v>
      </c>
      <c r="B20" s="43" t="s">
        <v>59</v>
      </c>
      <c r="C20" s="41" t="s">
        <v>20</v>
      </c>
      <c r="D20" s="41" t="s">
        <v>25</v>
      </c>
      <c r="E20" s="41" t="s">
        <v>6</v>
      </c>
      <c r="F20" s="37">
        <v>40</v>
      </c>
      <c r="G20" s="39">
        <v>60000</v>
      </c>
      <c r="H20" s="39">
        <f t="shared" si="0"/>
        <v>2400000</v>
      </c>
      <c r="I20" s="38"/>
    </row>
    <row r="21" spans="1:18" ht="28.5" customHeight="1">
      <c r="A21" s="37">
        <v>10</v>
      </c>
      <c r="B21" s="43" t="s">
        <v>19</v>
      </c>
      <c r="C21" s="41" t="s">
        <v>20</v>
      </c>
      <c r="D21" s="41" t="s">
        <v>21</v>
      </c>
      <c r="E21" s="41" t="s">
        <v>6</v>
      </c>
      <c r="F21" s="37">
        <v>4</v>
      </c>
      <c r="G21" s="39">
        <v>390000</v>
      </c>
      <c r="H21" s="39">
        <f t="shared" si="0"/>
        <v>1560000</v>
      </c>
      <c r="I21" s="38"/>
    </row>
    <row r="22" spans="1:18" ht="28.5" customHeight="1">
      <c r="A22" s="37">
        <v>11</v>
      </c>
      <c r="B22" s="43" t="s">
        <v>29</v>
      </c>
      <c r="C22" s="41" t="s">
        <v>20</v>
      </c>
      <c r="D22" s="41" t="s">
        <v>30</v>
      </c>
      <c r="E22" s="41" t="s">
        <v>31</v>
      </c>
      <c r="F22" s="37">
        <v>1</v>
      </c>
      <c r="G22" s="39">
        <v>1190000</v>
      </c>
      <c r="H22" s="39">
        <f t="shared" si="0"/>
        <v>1190000</v>
      </c>
      <c r="I22" s="38"/>
    </row>
    <row r="23" spans="1:18" ht="26.5" customHeight="1">
      <c r="A23" s="37">
        <v>12</v>
      </c>
      <c r="B23" s="43" t="s">
        <v>60</v>
      </c>
      <c r="C23" s="41" t="s">
        <v>20</v>
      </c>
      <c r="D23" s="41" t="s">
        <v>30</v>
      </c>
      <c r="E23" s="41" t="s">
        <v>31</v>
      </c>
      <c r="F23" s="37">
        <v>1</v>
      </c>
      <c r="G23" s="39">
        <v>1365000</v>
      </c>
      <c r="H23" s="39">
        <f t="shared" si="0"/>
        <v>1365000</v>
      </c>
      <c r="I23" s="38"/>
      <c r="J23" s="29"/>
      <c r="K23" s="19"/>
      <c r="L23" s="19"/>
      <c r="M23" s="19"/>
      <c r="N23" s="19"/>
      <c r="O23" s="20"/>
      <c r="P23" s="6"/>
      <c r="R23" s="3"/>
    </row>
    <row r="24" spans="1:18" ht="26.5" customHeight="1">
      <c r="A24" s="37">
        <v>13</v>
      </c>
      <c r="B24" s="43" t="s">
        <v>26</v>
      </c>
      <c r="C24" s="41" t="s">
        <v>20</v>
      </c>
      <c r="D24" s="41" t="s">
        <v>21</v>
      </c>
      <c r="E24" s="41" t="s">
        <v>22</v>
      </c>
      <c r="F24" s="37">
        <v>4</v>
      </c>
      <c r="G24" s="40">
        <v>442000</v>
      </c>
      <c r="H24" s="40">
        <f t="shared" si="0"/>
        <v>1768000</v>
      </c>
      <c r="I24" s="38"/>
      <c r="J24" s="30"/>
      <c r="K24" s="24"/>
      <c r="L24" s="24"/>
      <c r="M24" s="8"/>
      <c r="N24" s="3"/>
      <c r="O24" s="6"/>
      <c r="R24" s="3"/>
    </row>
    <row r="25" spans="1:18" ht="26.5" customHeight="1">
      <c r="A25" s="37">
        <v>14</v>
      </c>
      <c r="B25" s="43" t="s">
        <v>32</v>
      </c>
      <c r="C25" s="41" t="s">
        <v>20</v>
      </c>
      <c r="D25" s="41" t="s">
        <v>25</v>
      </c>
      <c r="E25" s="41" t="s">
        <v>6</v>
      </c>
      <c r="F25" s="37">
        <v>40</v>
      </c>
      <c r="G25" s="40">
        <v>75000</v>
      </c>
      <c r="H25" s="40">
        <f t="shared" si="0"/>
        <v>3000000</v>
      </c>
      <c r="I25" s="38"/>
      <c r="J25" s="30"/>
      <c r="K25" s="24"/>
      <c r="L25" s="24"/>
      <c r="M25" s="13"/>
      <c r="N25" s="3"/>
      <c r="O25" s="6"/>
      <c r="Q25" s="3"/>
      <c r="R25" s="21"/>
    </row>
    <row r="26" spans="1:18" ht="26.5" customHeight="1">
      <c r="A26" s="41">
        <v>15</v>
      </c>
      <c r="B26" s="43" t="s">
        <v>27</v>
      </c>
      <c r="C26" s="41" t="s">
        <v>20</v>
      </c>
      <c r="D26" s="41" t="s">
        <v>24</v>
      </c>
      <c r="E26" s="41" t="s">
        <v>6</v>
      </c>
      <c r="F26" s="41">
        <v>20</v>
      </c>
      <c r="G26" s="39">
        <v>93000</v>
      </c>
      <c r="H26" s="39">
        <f t="shared" si="0"/>
        <v>1860000</v>
      </c>
      <c r="I26" s="38"/>
      <c r="J26" s="3"/>
      <c r="K26" s="66"/>
      <c r="L26" s="66"/>
      <c r="M26" s="66"/>
      <c r="N26" s="66"/>
      <c r="O26" s="66"/>
      <c r="P26" s="66"/>
      <c r="Q26" s="3"/>
      <c r="R26" s="14"/>
    </row>
    <row r="27" spans="1:18">
      <c r="B27" s="45"/>
      <c r="C27" s="11"/>
      <c r="H27"/>
      <c r="I27" s="11"/>
    </row>
    <row r="29" spans="1:18" ht="15.5">
      <c r="G29" s="47" t="s">
        <v>46</v>
      </c>
      <c r="H29" s="48"/>
    </row>
    <row r="30" spans="1:18" ht="15.5">
      <c r="G30" s="76" t="s">
        <v>65</v>
      </c>
      <c r="H30" s="76"/>
    </row>
  </sheetData>
  <mergeCells count="9">
    <mergeCell ref="A1:I1"/>
    <mergeCell ref="G30:H30"/>
    <mergeCell ref="A10:F10"/>
    <mergeCell ref="K26:P26"/>
    <mergeCell ref="C5:G5"/>
    <mergeCell ref="C6:G6"/>
    <mergeCell ref="B7:E7"/>
    <mergeCell ref="A8:I8"/>
    <mergeCell ref="A9:I9"/>
  </mergeCells>
  <hyperlinks>
    <hyperlink ref="C4" r:id="rId1" display="https://omrigroup.vn/- hotline" xr:uid="{00000000-0004-0000-0100-000000000000}"/>
  </hyperlinks>
  <printOptions horizontalCentered="1"/>
  <pageMargins left="0.45" right="0.7" top="0.75" bottom="0.75" header="0.3" footer="0.3"/>
  <pageSetup paperSize="9" scale="7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topLeftCell="A14" workbookViewId="0">
      <selection activeCell="B23" sqref="B23"/>
    </sheetView>
  </sheetViews>
  <sheetFormatPr defaultRowHeight="14.5"/>
  <cols>
    <col min="1" max="1" width="8.7265625" style="3"/>
    <col min="2" max="2" width="25.1796875" style="42" customWidth="1"/>
    <col min="3" max="3" width="15" style="3" customWidth="1"/>
    <col min="4" max="4" width="15.453125" style="3" customWidth="1"/>
    <col min="5" max="5" width="14.81640625" style="11" customWidth="1"/>
    <col min="6" max="6" width="33.90625" style="3" customWidth="1"/>
    <col min="7" max="7" width="15.36328125" customWidth="1"/>
  </cols>
  <sheetData>
    <row r="1" spans="1:7" ht="17.5">
      <c r="A1" s="67" t="s">
        <v>13</v>
      </c>
      <c r="B1" s="67"/>
      <c r="C1" s="67"/>
      <c r="D1" s="67"/>
      <c r="E1" s="67"/>
      <c r="F1" s="67"/>
      <c r="G1" s="27"/>
    </row>
    <row r="2" spans="1:7" ht="17.5">
      <c r="A2" s="2"/>
      <c r="B2" s="55" t="s">
        <v>16</v>
      </c>
      <c r="C2" s="55"/>
      <c r="D2" s="55"/>
      <c r="E2" s="55"/>
      <c r="F2" s="55"/>
    </row>
    <row r="3" spans="1:7" ht="24" customHeight="1">
      <c r="A3" s="2"/>
      <c r="B3" s="54" t="s">
        <v>15</v>
      </c>
      <c r="C3" s="54"/>
      <c r="D3" s="54"/>
      <c r="E3" s="54"/>
      <c r="F3" s="54"/>
    </row>
    <row r="4" spans="1:7" ht="18.75" customHeight="1">
      <c r="A4" s="2"/>
      <c r="B4" s="56" t="s">
        <v>14</v>
      </c>
      <c r="C4" s="56"/>
      <c r="D4" s="56"/>
      <c r="E4" s="56"/>
      <c r="F4" s="56"/>
    </row>
    <row r="5" spans="1:7" ht="12" customHeight="1">
      <c r="A5" s="2"/>
      <c r="C5" s="26"/>
      <c r="D5" s="26"/>
      <c r="E5" s="26"/>
      <c r="F5" s="26"/>
    </row>
    <row r="6" spans="1:7" ht="22.5">
      <c r="A6" s="72" t="s">
        <v>83</v>
      </c>
      <c r="B6" s="72"/>
      <c r="C6" s="72"/>
      <c r="D6" s="72"/>
      <c r="E6" s="72"/>
      <c r="F6" s="72"/>
    </row>
    <row r="7" spans="1:7" ht="21.75" customHeight="1">
      <c r="A7" s="2"/>
      <c r="B7" s="28" t="s">
        <v>35</v>
      </c>
      <c r="C7" s="28"/>
      <c r="D7" s="28"/>
      <c r="E7" s="28"/>
      <c r="F7" s="5"/>
    </row>
    <row r="8" spans="1:7" ht="37.5" customHeight="1">
      <c r="A8" s="57" t="s">
        <v>95</v>
      </c>
      <c r="B8" s="57"/>
      <c r="C8" s="57"/>
      <c r="D8" s="57"/>
      <c r="E8" s="57"/>
      <c r="F8" s="57"/>
      <c r="G8" s="36"/>
    </row>
    <row r="9" spans="1:7" ht="74" customHeight="1">
      <c r="A9" s="71" t="s">
        <v>94</v>
      </c>
      <c r="B9" s="71"/>
      <c r="C9" s="71"/>
      <c r="D9" s="71"/>
      <c r="E9" s="71"/>
      <c r="F9" s="71"/>
      <c r="G9" s="32"/>
    </row>
    <row r="10" spans="1:7" ht="7" customHeight="1">
      <c r="A10" s="46"/>
      <c r="B10" s="46"/>
      <c r="C10" s="46"/>
      <c r="D10" s="46"/>
      <c r="E10" s="46"/>
      <c r="F10" s="46"/>
      <c r="G10" s="32"/>
    </row>
    <row r="11" spans="1:7" ht="33" customHeight="1">
      <c r="A11" s="51" t="s">
        <v>66</v>
      </c>
      <c r="B11" s="82" t="s">
        <v>91</v>
      </c>
      <c r="C11" s="82"/>
      <c r="D11" s="82"/>
      <c r="E11" s="82"/>
      <c r="F11" s="82"/>
      <c r="G11" s="32"/>
    </row>
    <row r="12" spans="1:7" ht="33" customHeight="1">
      <c r="A12" s="49"/>
      <c r="B12" s="69" t="s">
        <v>67</v>
      </c>
      <c r="C12" s="69" t="s">
        <v>68</v>
      </c>
      <c r="D12" s="69" t="s">
        <v>93</v>
      </c>
      <c r="E12" s="69" t="s">
        <v>74</v>
      </c>
      <c r="F12" s="69" t="s">
        <v>7</v>
      </c>
      <c r="G12" s="32"/>
    </row>
    <row r="13" spans="1:7" ht="22" customHeight="1">
      <c r="A13" s="50"/>
      <c r="B13" s="70" t="s">
        <v>69</v>
      </c>
      <c r="C13" s="70" t="s">
        <v>72</v>
      </c>
      <c r="D13" s="70">
        <v>1</v>
      </c>
      <c r="E13" s="70">
        <v>0</v>
      </c>
      <c r="F13" s="70"/>
      <c r="G13" s="32"/>
    </row>
    <row r="14" spans="1:7" ht="22" customHeight="1">
      <c r="A14" s="50"/>
      <c r="B14" s="70" t="s">
        <v>70</v>
      </c>
      <c r="C14" s="70" t="s">
        <v>73</v>
      </c>
      <c r="D14" s="70">
        <v>1</v>
      </c>
      <c r="E14" s="70">
        <v>1</v>
      </c>
      <c r="F14" s="70" t="s">
        <v>79</v>
      </c>
      <c r="G14" s="32"/>
    </row>
    <row r="15" spans="1:7" ht="22" customHeight="1">
      <c r="A15" s="50"/>
      <c r="B15" s="70" t="s">
        <v>71</v>
      </c>
      <c r="C15" s="70" t="s">
        <v>75</v>
      </c>
      <c r="D15" s="70">
        <v>2</v>
      </c>
      <c r="E15" s="70">
        <v>1</v>
      </c>
      <c r="F15" s="70" t="s">
        <v>80</v>
      </c>
      <c r="G15" s="32"/>
    </row>
    <row r="16" spans="1:7" ht="22" customHeight="1">
      <c r="A16" s="50"/>
      <c r="B16" s="70" t="s">
        <v>76</v>
      </c>
      <c r="C16" s="70" t="s">
        <v>78</v>
      </c>
      <c r="D16" s="70">
        <v>2</v>
      </c>
      <c r="E16" s="70">
        <v>2</v>
      </c>
      <c r="F16" s="70" t="s">
        <v>80</v>
      </c>
      <c r="G16" s="32"/>
    </row>
    <row r="17" spans="1:12" ht="22" customHeight="1">
      <c r="A17" s="50"/>
      <c r="B17" s="70" t="s">
        <v>77</v>
      </c>
      <c r="C17" s="70" t="s">
        <v>81</v>
      </c>
      <c r="D17" s="70">
        <v>4</v>
      </c>
      <c r="E17" s="70">
        <v>1</v>
      </c>
      <c r="F17" s="70" t="s">
        <v>82</v>
      </c>
      <c r="G17" s="32"/>
    </row>
    <row r="18" spans="1:12" ht="39.5" customHeight="1">
      <c r="A18" s="52" t="s">
        <v>84</v>
      </c>
      <c r="B18" s="80" t="s">
        <v>92</v>
      </c>
      <c r="C18" s="81"/>
      <c r="D18" s="81"/>
      <c r="E18" s="81"/>
      <c r="F18" s="81"/>
    </row>
    <row r="19" spans="1:12" ht="8" customHeight="1">
      <c r="A19" s="83"/>
      <c r="B19" s="84"/>
      <c r="C19" s="85"/>
      <c r="D19" s="85"/>
      <c r="E19" s="85"/>
      <c r="F19" s="85"/>
    </row>
    <row r="20" spans="1:12" ht="37.5" customHeight="1">
      <c r="A20" s="86"/>
      <c r="B20" s="86"/>
      <c r="C20" s="68"/>
      <c r="D20" s="68"/>
      <c r="E20" s="68"/>
      <c r="F20" s="68"/>
      <c r="G20" s="11"/>
    </row>
    <row r="21" spans="1:12" ht="23.5" customHeight="1">
      <c r="C21" s="68"/>
      <c r="D21" s="68"/>
      <c r="E21" s="68"/>
      <c r="F21" s="68"/>
    </row>
    <row r="22" spans="1:12" ht="22.5" customHeight="1">
      <c r="E22" s="73" t="s">
        <v>46</v>
      </c>
      <c r="F22" s="73"/>
    </row>
    <row r="23" spans="1:12" ht="28.5" customHeight="1">
      <c r="E23" s="74" t="s">
        <v>65</v>
      </c>
      <c r="F23" s="74"/>
    </row>
    <row r="24" spans="1:12" ht="28.5" customHeight="1"/>
    <row r="25" spans="1:12" ht="28.5" customHeight="1"/>
    <row r="26" spans="1:12" ht="28.5" customHeight="1"/>
    <row r="27" spans="1:12" ht="28.5" customHeight="1"/>
    <row r="28" spans="1:12" ht="26.5" customHeight="1">
      <c r="L28" s="3"/>
    </row>
    <row r="29" spans="1:12" ht="26.5" customHeight="1">
      <c r="L29" s="3"/>
    </row>
    <row r="30" spans="1:12" ht="26.5" customHeight="1">
      <c r="K30" s="3"/>
      <c r="L30" s="21"/>
    </row>
    <row r="31" spans="1:12" ht="26.5" customHeight="1">
      <c r="K31" s="3"/>
      <c r="L31" s="14"/>
    </row>
  </sheetData>
  <mergeCells count="13">
    <mergeCell ref="C20:F21"/>
    <mergeCell ref="A20:B20"/>
    <mergeCell ref="E23:F23"/>
    <mergeCell ref="E22:F22"/>
    <mergeCell ref="A1:F1"/>
    <mergeCell ref="B2:F2"/>
    <mergeCell ref="B3:F3"/>
    <mergeCell ref="B4:F4"/>
    <mergeCell ref="A6:F6"/>
    <mergeCell ref="B18:F18"/>
    <mergeCell ref="B11:F11"/>
    <mergeCell ref="A8:F8"/>
    <mergeCell ref="A9:F9"/>
  </mergeCells>
  <hyperlinks>
    <hyperlink ref="B4" r:id="rId1" display="https://omrigroup.vn/- hotline" xr:uid="{00000000-0004-0000-0200-000000000000}"/>
  </hyperlinks>
  <printOptions horizontalCentered="1"/>
  <pageMargins left="0.45" right="0.2" top="0.75" bottom="0.75" header="0.3" footer="0.3"/>
  <pageSetup paperSize="9" scale="75"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DÒNG PHÂN NỞ-BÓN GỐC</vt:lpstr>
      <vt:lpstr>DÒNG PHÂN NƯỚC</vt:lpstr>
      <vt:lpstr>CHÍNH SÁCH CHO FRAM</vt:lpstr>
      <vt:lpstr>'CHÍNH SÁCH CHO FRAM'!Print_Area</vt:lpstr>
      <vt:lpstr>'DÒNG PHÂN NỞ-BÓN GỐC'!Print_Area</vt:lpstr>
      <vt:lpstr>'DÒNG PHÂN NƯỚC'!Print_Area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creator>
  <cp:lastModifiedBy>Son Ho Minh</cp:lastModifiedBy>
  <cp:lastPrinted>2026-04-03T07:09:36Z</cp:lastPrinted>
  <dcterms:created xsi:type="dcterms:W3CDTF">2025-04-10T05:59:04Z</dcterms:created>
  <dcterms:modified xsi:type="dcterms:W3CDTF">2026-04-03T07:09:46Z</dcterms:modified>
</cp:coreProperties>
</file>