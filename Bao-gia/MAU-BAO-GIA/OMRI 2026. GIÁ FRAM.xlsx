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HTX SAVINA\OMRI FOOD\"/>
    </mc:Choice>
  </mc:AlternateContent>
  <xr:revisionPtr revIDLastSave="0" documentId="13_ncr:1_{8B31FC39-1C12-4E1C-BBE7-C5308458DE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ÒNG PHÂN NỞ-BÓN GỐC" sheetId="4" r:id="rId1"/>
    <sheet name="DÒNG PHÂN NƯỚC" sheetId="5" r:id="rId2"/>
    <sheet name="Sheet1" sheetId="7" r:id="rId3"/>
  </sheets>
  <definedNames>
    <definedName name="_xlnm.Print_Area" localSheetId="0">'DÒNG PHÂN NỞ-BÓN GỐC'!$A$1:$E$33</definedName>
    <definedName name="_xlnm.Print_Area" localSheetId="1">'DÒNG PHÂN NƯỚC'!$A$1:$I$40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5" l="1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E23" i="4" l="1"/>
  <c r="E21" i="4"/>
</calcChain>
</file>

<file path=xl/sharedStrings.xml><?xml version="1.0" encoding="utf-8"?>
<sst xmlns="http://schemas.openxmlformats.org/spreadsheetml/2006/main" count="143" uniqueCount="74">
  <si>
    <t>STT</t>
  </si>
  <si>
    <t>TÊN HÀNG HÓA</t>
  </si>
  <si>
    <t>BẢNG BÁO GIÁ</t>
  </si>
  <si>
    <t>QUY CÁCH</t>
  </si>
  <si>
    <t>ĐVT</t>
  </si>
  <si>
    <t xml:space="preserve">CÔNG TY CỔ PHẦN NÔNG NGHIỆP CÔNG NGHỆ CAO OMRI GROUP </t>
  </si>
  <si>
    <t>Chai</t>
  </si>
  <si>
    <t>GHI CHÚ</t>
  </si>
  <si>
    <r>
      <t xml:space="preserve">               </t>
    </r>
    <r>
      <rPr>
        <sz val="11"/>
        <color rgb="FF00B050"/>
        <rFont val="Times New Roman"/>
        <family val="1"/>
      </rPr>
      <t xml:space="preserve"> Trụ sở: 2E/1, Đường 970 -KP4, Phường Long Trường -  TP.HCM</t>
    </r>
  </si>
  <si>
    <t>Bao 25 kg</t>
  </si>
  <si>
    <t>Túi 10 kg</t>
  </si>
  <si>
    <t>Bao 20 kg</t>
  </si>
  <si>
    <t>Tấn</t>
  </si>
  <si>
    <t xml:space="preserve">CỔNG TY CỔ PHẦN NÔNG NGHIỆP CÔNG NGHỆ CAO OMRI GROUP </t>
  </si>
  <si>
    <t xml:space="preserve">   Wedsite: https://omrigroup.vn/- hotline: 0916.616.855 - 0918.383.222</t>
  </si>
  <si>
    <t xml:space="preserve">                    Nhà Máy : Lô B220A,KCN Thái Hòa,Xã Đức Lập ,Tỉnh Long An</t>
  </si>
  <si>
    <r>
      <t xml:space="preserve">               </t>
    </r>
    <r>
      <rPr>
        <sz val="11"/>
        <color rgb="FF00B050"/>
        <rFont val="Times New Roman"/>
        <family val="1"/>
      </rPr>
      <t xml:space="preserve"> Trụ sở: 2E/1 Đường 970 - KP 4 - Phường Long Trường - TP.HCM</t>
    </r>
  </si>
  <si>
    <t xml:space="preserve">                    Nhà Máy : Lô B220A,KCN Thái Hòa,Xã Đức Lập ,Tỉnh Tây Ninh, Việt Nam</t>
  </si>
  <si>
    <t>Roots 10</t>
  </si>
  <si>
    <t>TH</t>
  </si>
  <si>
    <t>5L</t>
  </si>
  <si>
    <t>Can</t>
  </si>
  <si>
    <t>Canxi Bo</t>
  </si>
  <si>
    <t>1L</t>
  </si>
  <si>
    <t>500ml</t>
  </si>
  <si>
    <t>Lân đỏ</t>
  </si>
  <si>
    <t>Mg - Zn</t>
  </si>
  <si>
    <t>Amino 40</t>
  </si>
  <si>
    <t>Roots Omri 20kg</t>
  </si>
  <si>
    <t>20kg</t>
  </si>
  <si>
    <t>Xô</t>
  </si>
  <si>
    <t>Siêu Bo</t>
  </si>
  <si>
    <t>Công ty Omri Group chân thành biết ơn sự hợp tác của Quý khách hàng.</t>
  </si>
  <si>
    <t>Trân trọng báo giá!</t>
  </si>
  <si>
    <r>
      <t>Kính gửi</t>
    </r>
    <r>
      <rPr>
        <b/>
        <i/>
        <sz val="12"/>
        <color rgb="FF000000"/>
        <rFont val="Times New Roman"/>
        <family val="1"/>
      </rPr>
      <t xml:space="preserve">: QUÝ KHÁCH HÀNG FRAM </t>
    </r>
  </si>
  <si>
    <r>
      <t xml:space="preserve">PHÂN BÓN HỮU CƠ OMRI 70 OM CAO CẤP
</t>
    </r>
    <r>
      <rPr>
        <sz val="12"/>
        <color theme="1"/>
        <rFont val="Times New Roman"/>
        <family val="1"/>
      </rPr>
      <t>( Sản phẩm có NPK , humic,amino,fulvic + TE )</t>
    </r>
  </si>
  <si>
    <r>
      <t xml:space="preserve">PHÂN BÓN HỮU CƠ OMRI 70 OM 
</t>
    </r>
    <r>
      <rPr>
        <sz val="12"/>
        <color theme="1"/>
        <rFont val="Times New Roman"/>
        <family val="1"/>
      </rPr>
      <t>( sản phẩm có NPK,Humic,Amino,Fulvic và các dinh dưỡng tiêu chuẩn )</t>
    </r>
  </si>
  <si>
    <r>
      <t xml:space="preserve">PHÂN BÓN HỮU CƠ OMRI 60 OM 
</t>
    </r>
    <r>
      <rPr>
        <sz val="12"/>
        <color theme="1"/>
        <rFont val="Times New Roman"/>
        <family val="1"/>
      </rPr>
      <t>( Sản phẩm có NPK,Humic,Amino,Fulvic ...)</t>
    </r>
  </si>
  <si>
    <r>
      <t xml:space="preserve">PHÂN BÓN HỮU CƠ HC GARDEN ORGANIC( BAO 25 Kg) 
</t>
    </r>
    <r>
      <rPr>
        <sz val="12"/>
        <color theme="1"/>
        <rFont val="Times New Roman"/>
        <family val="1"/>
      </rPr>
      <t>( Sản phẩm chứa NPK 12-0-1, 30 OM, amino ,fulvic ...)</t>
    </r>
  </si>
  <si>
    <r>
      <t xml:space="preserve">PHÂN BÓN HỮU CƠ HC GARDEN ORGANIC( BAO 10 Kg) 
</t>
    </r>
    <r>
      <rPr>
        <sz val="12"/>
        <color theme="1"/>
        <rFont val="Times New Roman"/>
        <family val="1"/>
      </rPr>
      <t>( Sản phẩm chứa NPK 12-0-1, 30 OM, amino ,fulvic ...)</t>
    </r>
  </si>
  <si>
    <t>Túi 1 kg</t>
  </si>
  <si>
    <t>kg</t>
  </si>
  <si>
    <t>HUMIC CACBON ( DẠNG BỘT- TÚI 1KG )</t>
  </si>
  <si>
    <t>HUMIC CACBON( DẠNG BỘT- TÚI 5 KG) )</t>
  </si>
  <si>
    <t>Túi 5 kg</t>
  </si>
  <si>
    <t>Ngày 01 Tháng 04 Năm 2026</t>
  </si>
  <si>
    <t xml:space="preserve"> TRICHODEMA ( DẠNG BỘT - TÚI 1 KG )</t>
  </si>
  <si>
    <t xml:space="preserve"> TRICHODEMA ( DẠNG LỎNG - CAN 5 LÍT )</t>
  </si>
  <si>
    <t xml:space="preserve">Can 5 lít </t>
  </si>
  <si>
    <t>Lít</t>
  </si>
  <si>
    <t xml:space="preserve">   Wedsite: https://omrigroup.vn/- hotline: 0916.616.855</t>
  </si>
  <si>
    <t>Kali Bo Omri</t>
  </si>
  <si>
    <t>Lúa</t>
  </si>
  <si>
    <t>Ra rễ nở bụi</t>
  </si>
  <si>
    <t>Rước đồng trổ thoát</t>
  </si>
  <si>
    <t>Đạm cá</t>
  </si>
  <si>
    <t xml:space="preserve">Đạm cá </t>
  </si>
  <si>
    <t>Siêu vọt đọt</t>
  </si>
  <si>
    <t xml:space="preserve">Lớn trái Omri </t>
  </si>
  <si>
    <t>LOẠI</t>
  </si>
  <si>
    <t>ĐƠN GIÁ</t>
  </si>
  <si>
    <t>GIÁ THÙNG</t>
  </si>
  <si>
    <t>Giá Net</t>
  </si>
  <si>
    <r>
      <t xml:space="preserve">Công ty </t>
    </r>
    <r>
      <rPr>
        <b/>
        <i/>
        <sz val="11"/>
        <color rgb="FF000000"/>
        <rFont val="Times New Roman"/>
        <family val="1"/>
      </rPr>
      <t xml:space="preserve">Cổ phần Nông Nghiệp Công Nghệ Cao OMRI GROUP </t>
    </r>
    <r>
      <rPr>
        <i/>
        <sz val="11"/>
        <color rgb="FF000000"/>
        <rFont val="Times New Roman"/>
        <family val="1"/>
      </rPr>
      <t>xin chân thành cảm ơn quý khách đã quan tâm ,
 tin dùng các sản phẩm và dịch vụ của Công Ty chúng tôi trong thời gian qua.</t>
    </r>
  </si>
  <si>
    <r>
      <rPr>
        <sz val="11"/>
        <color theme="1"/>
        <rFont val="Calibri"/>
        <family val="2"/>
        <scheme val="minor"/>
      </rPr>
      <t>Do tình hình thị trường nhiều biến động, để đảm bảo cho các sản phẩm và dịch vụ tốt nhất ,
 nay Công Ty chúng tôi xin gửi bảng báo giá mới</t>
    </r>
    <r>
      <rPr>
        <b/>
        <sz val="11"/>
        <color theme="1"/>
        <rFont val="Calibri"/>
        <family val="2"/>
        <scheme val="minor"/>
      </rPr>
      <t xml:space="preserve"> áp dụng từ ngày 01/04/2026 </t>
    </r>
    <r>
      <rPr>
        <sz val="11"/>
        <color theme="1"/>
        <rFont val="Calibri"/>
        <family val="2"/>
        <scheme val="minor"/>
      </rPr>
      <t>các sản phẩm cụ thể như sau:</t>
    </r>
  </si>
  <si>
    <t>( GIÁM ĐỐC)</t>
  </si>
  <si>
    <t>CHÍNH SÁCH CHO FARM</t>
  </si>
  <si>
    <t>GIÁ  TẠI 
KHO FARM</t>
  </si>
  <si>
    <r>
      <t xml:space="preserve">TRUNG VI LƯỢNG - OMRI - BAO BẠC 20 Kg
</t>
    </r>
    <r>
      <rPr>
        <sz val="12"/>
        <color theme="1"/>
        <rFont val="Times New Roman"/>
        <family val="1"/>
      </rPr>
      <t xml:space="preserve">( Sản phẩm có 20 OM + TE )
 - giúp bộ rễ khỏe, giải độc đất,cây ,cân bằng PH,điều tiết lượng nước. Giúp  cứng cây xanh lá chống chịu thời tiết bất lợi,tăng tuổi thọ cho cây </t>
    </r>
  </si>
  <si>
    <r>
      <t xml:space="preserve">TRUNG VI LƯỢNG - OMRI - BAO BẠC 20 Kg
</t>
    </r>
    <r>
      <rPr>
        <sz val="12"/>
        <color theme="1"/>
        <rFont val="Times New Roman"/>
        <family val="1"/>
      </rPr>
      <t>( Sản phẩm có 20 OM + TE )
 - giúp bộ rễ khỏe, giải độc đất,cây ,cân bằng PH,điều tiết lượng nước. Giúp  cứng cây xanh lá chống chịu thời tiết bất lợi,tăng tuổi thọ cho cây</t>
    </r>
  </si>
  <si>
    <r>
      <rPr>
        <sz val="12"/>
        <color theme="1"/>
        <rFont val="Times New Roman"/>
        <family val="1"/>
      </rPr>
      <t>Do tình hình thị trường nhiều biến động, để đảm bảo cho các sản phẩm và dịch vụ tốt nhất ,
 nay Công Ty chúng tôi xin gửi bảng báo giá mới</t>
    </r>
    <r>
      <rPr>
        <b/>
        <sz val="12"/>
        <color theme="1"/>
        <rFont val="Times New Roman"/>
        <family val="1"/>
      </rPr>
      <t xml:space="preserve"> áp dụng từ ngày 01/04/2026 </t>
    </r>
    <r>
      <rPr>
        <sz val="12"/>
        <color theme="1"/>
        <rFont val="Times New Roman"/>
        <family val="1"/>
      </rPr>
      <t>các sản phẩm cụ thể như sau:</t>
    </r>
  </si>
  <si>
    <t>QUY
 CÁCH</t>
  </si>
  <si>
    <t>THỂ
TÍCH</t>
  </si>
  <si>
    <t>CÂY
TRỒNG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</si>
</sst>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u/>
      <sz val="11"/>
      <color rgb="FF0000FF"/>
      <name val="Calibri"/>
      <family val="2"/>
      <scheme val="minor"/>
    </font>
    <font>
      <b/>
      <i/>
      <u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rgb="FF00B050"/>
      <name val="Times New Roman"/>
      <family val="1"/>
    </font>
    <font>
      <sz val="11"/>
      <color rgb="FF00B050"/>
      <name val="Times New Roman"/>
      <family val="1"/>
    </font>
    <font>
      <u/>
      <sz val="11"/>
      <color theme="8"/>
      <name val="Calibri"/>
      <family val="2"/>
      <scheme val="minor"/>
    </font>
    <font>
      <sz val="11"/>
      <color rgb="FF000000"/>
      <name val="Times New Roman"/>
      <family val="1"/>
    </font>
    <font>
      <i/>
      <u/>
      <sz val="24"/>
      <color rgb="FF0070C0"/>
      <name val="Calibri"/>
      <family val="2"/>
      <scheme val="minor"/>
    </font>
    <font>
      <b/>
      <i/>
      <u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Times  New Roman"/>
    </font>
    <font>
      <i/>
      <sz val="12"/>
      <color theme="1"/>
      <name val="Times  New Roman"/>
    </font>
    <font>
      <i/>
      <sz val="12"/>
      <color theme="1"/>
      <name val="Times New Roman"/>
      <family val="1"/>
    </font>
    <font>
      <sz val="12"/>
      <color theme="1"/>
      <name val="Times  New Roman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0" fillId="0" borderId="0" xfId="1" applyNumberFormat="1" applyFont="1"/>
    <xf numFmtId="0" fontId="11" fillId="0" borderId="0" xfId="0" applyFont="1" applyAlignment="1">
      <alignment vertical="center"/>
    </xf>
    <xf numFmtId="0" fontId="20" fillId="0" borderId="0" xfId="0" applyFont="1"/>
    <xf numFmtId="0" fontId="18" fillId="0" borderId="4" xfId="0" applyFont="1" applyBorder="1" applyAlignment="1">
      <alignment horizontal="left" vertical="center"/>
    </xf>
    <xf numFmtId="0" fontId="0" fillId="3" borderId="0" xfId="0" applyFill="1"/>
    <xf numFmtId="164" fontId="0" fillId="0" borderId="0" xfId="1" applyNumberFormat="1" applyFont="1" applyAlignment="1">
      <alignment horizontal="center"/>
    </xf>
    <xf numFmtId="0" fontId="19" fillId="0" borderId="0" xfId="0" applyFont="1"/>
    <xf numFmtId="0" fontId="22" fillId="0" borderId="0" xfId="0" applyFont="1"/>
    <xf numFmtId="0" fontId="3" fillId="0" borderId="0" xfId="2" applyFont="1"/>
    <xf numFmtId="0" fontId="3" fillId="3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164" fontId="18" fillId="0" borderId="0" xfId="1" applyNumberFormat="1" applyFont="1" applyAlignment="1">
      <alignment vertical="center"/>
    </xf>
    <xf numFmtId="0" fontId="2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0" fontId="21" fillId="0" borderId="0" xfId="2" applyFont="1"/>
    <xf numFmtId="0" fontId="3" fillId="2" borderId="2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18" fillId="0" borderId="0" xfId="0" applyFont="1"/>
    <xf numFmtId="0" fontId="4" fillId="0" borderId="0" xfId="2" applyFont="1"/>
    <xf numFmtId="0" fontId="26" fillId="0" borderId="0" xfId="0" applyFont="1"/>
    <xf numFmtId="0" fontId="3" fillId="3" borderId="2" xfId="2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8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4" fontId="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6" fillId="0" borderId="0" xfId="2" applyFont="1" applyAlignment="1">
      <alignment horizontal="left" vertical="center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9" fillId="0" borderId="2" xfId="0" applyFont="1" applyBorder="1" applyAlignment="1">
      <alignment vertical="center"/>
    </xf>
    <xf numFmtId="164" fontId="28" fillId="0" borderId="2" xfId="1" applyNumberFormat="1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164" fontId="28" fillId="0" borderId="2" xfId="1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79374</xdr:colOff>
      <xdr:row>1</xdr:row>
      <xdr:rowOff>19050</xdr:rowOff>
    </xdr:from>
    <xdr:to>
      <xdr:col>1</xdr:col>
      <xdr:colOff>1445699</xdr:colOff>
      <xdr:row>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874" y="438150"/>
          <a:ext cx="1366325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4051866</xdr:colOff>
      <xdr:row>27</xdr:row>
      <xdr:rowOff>76919</xdr:rowOff>
    </xdr:from>
    <xdr:to>
      <xdr:col>4</xdr:col>
      <xdr:colOff>482600</xdr:colOff>
      <xdr:row>34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3366" y="10268669"/>
          <a:ext cx="2450534" cy="15042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1</xdr:row>
      <xdr:rowOff>98424</xdr:rowOff>
    </xdr:from>
    <xdr:to>
      <xdr:col>1</xdr:col>
      <xdr:colOff>1358899</xdr:colOff>
      <xdr:row>4</xdr:row>
      <xdr:rowOff>241300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320674"/>
          <a:ext cx="1527173" cy="9048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114300</xdr:rowOff>
    </xdr:to>
    <xdr:sp macro="" textlink="">
      <xdr:nvSpPr>
        <xdr:cNvPr id="2049" name="AutoShape 1" descr="https://chatgpt.com/backend-api/estuary/content?id=file_00000000205c620980ee662f4a270b0a&amp;ts=489033&amp;p=fs&amp;cid=1&amp;sig=9759429c4dcb0003c89a9a901f8fac39d790e4a26654c0244f5800baf5e9226f&amp;v=0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9029700" y="171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237169</xdr:colOff>
      <xdr:row>29</xdr:row>
      <xdr:rowOff>50800</xdr:rowOff>
    </xdr:from>
    <xdr:to>
      <xdr:col>8</xdr:col>
      <xdr:colOff>679450</xdr:colOff>
      <xdr:row>39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6369" y="7721600"/>
          <a:ext cx="2950531" cy="1885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34924</xdr:rowOff>
    </xdr:from>
    <xdr:to>
      <xdr:col>1</xdr:col>
      <xdr:colOff>1339850</xdr:colOff>
      <xdr:row>5</xdr:row>
      <xdr:rowOff>311150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924"/>
          <a:ext cx="1949450" cy="15271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31</xdr:row>
      <xdr:rowOff>298450</xdr:rowOff>
    </xdr:to>
    <xdr:sp macro="" textlink="">
      <xdr:nvSpPr>
        <xdr:cNvPr id="3" name="AutoShape 1" descr="https://chatgpt.com/backend-api/estuary/content?id=file_00000000205c620980ee662f4a270b0a&amp;ts=489033&amp;p=fs&amp;cid=1&amp;sig=9759429c4dcb0003c89a9a901f8fac39d790e4a26654c0244f5800baf5e9226f&amp;v=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949950" y="11410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14919</xdr:colOff>
      <xdr:row>23</xdr:row>
      <xdr:rowOff>44450</xdr:rowOff>
    </xdr:from>
    <xdr:to>
      <xdr:col>9</xdr:col>
      <xdr:colOff>0</xdr:colOff>
      <xdr:row>28</xdr:row>
      <xdr:rowOff>289458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4869" y="9982200"/>
          <a:ext cx="3407731" cy="2054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omrigroup.vn/-%20hotlin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omrigroup.vn/-%20hot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tabSelected="1" topLeftCell="A22" zoomScaleNormal="100" workbookViewId="0">
      <selection activeCell="G27" sqref="G27"/>
    </sheetView>
  </sheetViews>
  <sheetFormatPr defaultRowHeight="14.5"/>
  <cols>
    <col min="1" max="1" width="8.1796875" customWidth="1"/>
    <col min="2" max="2" width="64.1796875" customWidth="1"/>
    <col min="3" max="3" width="16.7265625" customWidth="1"/>
    <col min="4" max="4" width="5.26953125" bestFit="1" customWidth="1"/>
    <col min="5" max="5" width="13.54296875" customWidth="1"/>
  </cols>
  <sheetData>
    <row r="1" spans="1:27" ht="33" customHeight="1">
      <c r="A1" s="1"/>
      <c r="B1" s="49" t="s">
        <v>5</v>
      </c>
      <c r="C1" s="49"/>
      <c r="D1" s="49"/>
      <c r="E1" s="49"/>
    </row>
    <row r="2" spans="1:27" ht="17.5">
      <c r="A2" s="2"/>
      <c r="B2" s="49" t="s">
        <v>8</v>
      </c>
      <c r="C2" s="49"/>
      <c r="D2" s="49"/>
      <c r="E2" s="49"/>
    </row>
    <row r="3" spans="1:27">
      <c r="A3" s="2"/>
      <c r="B3" s="56" t="s">
        <v>17</v>
      </c>
      <c r="C3" s="56"/>
      <c r="D3" s="56"/>
      <c r="E3" s="56"/>
    </row>
    <row r="4" spans="1:27" ht="25.5" customHeight="1">
      <c r="A4" s="2"/>
      <c r="B4" s="50" t="s">
        <v>50</v>
      </c>
      <c r="C4" s="50"/>
      <c r="D4" s="50"/>
      <c r="E4" s="50"/>
    </row>
    <row r="5" spans="1:27">
      <c r="A5" s="2"/>
      <c r="B5" s="3"/>
      <c r="C5" s="56"/>
      <c r="D5" s="56"/>
      <c r="E5" s="56"/>
    </row>
    <row r="6" spans="1:27" ht="34.5" customHeight="1">
      <c r="A6" s="4"/>
      <c r="B6" s="57" t="s">
        <v>2</v>
      </c>
      <c r="C6" s="57"/>
      <c r="D6" s="57"/>
      <c r="E6" s="57"/>
    </row>
    <row r="7" spans="1:27" ht="26" customHeight="1">
      <c r="A7" s="2"/>
      <c r="B7" s="58" t="s">
        <v>34</v>
      </c>
      <c r="C7" s="58"/>
      <c r="D7" s="58"/>
      <c r="E7" s="58"/>
    </row>
    <row r="8" spans="1:27" ht="39.5" customHeight="1">
      <c r="A8" s="51" t="s">
        <v>63</v>
      </c>
      <c r="B8" s="59"/>
      <c r="C8" s="59"/>
      <c r="D8" s="59"/>
      <c r="E8" s="59"/>
    </row>
    <row r="9" spans="1:27" ht="31" customHeight="1">
      <c r="A9" s="52" t="s">
        <v>70</v>
      </c>
      <c r="B9" s="52"/>
      <c r="C9" s="52"/>
      <c r="D9" s="52"/>
      <c r="E9" s="52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9.5" customHeight="1">
      <c r="B10" s="9"/>
      <c r="C10" s="9"/>
      <c r="D10" s="9"/>
      <c r="E10" s="9"/>
    </row>
    <row r="11" spans="1:27" ht="33.75" customHeight="1">
      <c r="A11" s="60" t="s">
        <v>0</v>
      </c>
      <c r="B11" s="60" t="s">
        <v>1</v>
      </c>
      <c r="C11" s="60" t="s">
        <v>3</v>
      </c>
      <c r="D11" s="62" t="s">
        <v>4</v>
      </c>
      <c r="E11" s="64" t="s">
        <v>67</v>
      </c>
    </row>
    <row r="12" spans="1:27" ht="2" customHeight="1">
      <c r="A12" s="61"/>
      <c r="B12" s="61"/>
      <c r="C12" s="61"/>
      <c r="D12" s="63"/>
      <c r="E12" s="65"/>
    </row>
    <row r="13" spans="1:27" s="10" customFormat="1" ht="35" customHeight="1">
      <c r="A13" s="15">
        <v>1</v>
      </c>
      <c r="B13" s="28" t="s">
        <v>35</v>
      </c>
      <c r="C13" s="30" t="s">
        <v>9</v>
      </c>
      <c r="D13" s="31" t="s">
        <v>12</v>
      </c>
      <c r="E13" s="32">
        <v>9200000</v>
      </c>
    </row>
    <row r="14" spans="1:27" s="10" customFormat="1" ht="43.5" customHeight="1">
      <c r="A14" s="15">
        <v>2</v>
      </c>
      <c r="B14" s="28" t="s">
        <v>36</v>
      </c>
      <c r="C14" s="30" t="s">
        <v>9</v>
      </c>
      <c r="D14" s="31" t="s">
        <v>12</v>
      </c>
      <c r="E14" s="32">
        <v>8700000</v>
      </c>
    </row>
    <row r="15" spans="1:27" s="10" customFormat="1" ht="35.5" customHeight="1">
      <c r="A15" s="15">
        <v>3</v>
      </c>
      <c r="B15" s="28" t="s">
        <v>37</v>
      </c>
      <c r="C15" s="30" t="s">
        <v>9</v>
      </c>
      <c r="D15" s="31" t="s">
        <v>12</v>
      </c>
      <c r="E15" s="32">
        <v>7300000</v>
      </c>
    </row>
    <row r="16" spans="1:27" s="10" customFormat="1" ht="37.5" customHeight="1">
      <c r="A16" s="15">
        <v>4</v>
      </c>
      <c r="B16" s="28" t="s">
        <v>38</v>
      </c>
      <c r="C16" s="30" t="s">
        <v>9</v>
      </c>
      <c r="D16" s="31" t="s">
        <v>12</v>
      </c>
      <c r="E16" s="32">
        <v>13500000</v>
      </c>
    </row>
    <row r="17" spans="1:5" s="10" customFormat="1" ht="43.5" customHeight="1">
      <c r="A17" s="15">
        <v>5</v>
      </c>
      <c r="B17" s="28" t="s">
        <v>39</v>
      </c>
      <c r="C17" s="30" t="s">
        <v>10</v>
      </c>
      <c r="D17" s="31" t="s">
        <v>12</v>
      </c>
      <c r="E17" s="32">
        <v>15000000</v>
      </c>
    </row>
    <row r="18" spans="1:5" s="10" customFormat="1" ht="70" customHeight="1">
      <c r="A18" s="15">
        <v>6</v>
      </c>
      <c r="B18" s="28" t="s">
        <v>69</v>
      </c>
      <c r="C18" s="30" t="s">
        <v>11</v>
      </c>
      <c r="D18" s="31" t="s">
        <v>12</v>
      </c>
      <c r="E18" s="32">
        <v>20500000</v>
      </c>
    </row>
    <row r="19" spans="1:5" s="10" customFormat="1" ht="70.5" customHeight="1">
      <c r="A19" s="15">
        <v>7</v>
      </c>
      <c r="B19" s="28" t="s">
        <v>68</v>
      </c>
      <c r="C19" s="30" t="s">
        <v>40</v>
      </c>
      <c r="D19" s="31" t="s">
        <v>41</v>
      </c>
      <c r="E19" s="32">
        <v>90000</v>
      </c>
    </row>
    <row r="20" spans="1:5" s="10" customFormat="1" ht="29.5" customHeight="1">
      <c r="A20" s="15">
        <v>8</v>
      </c>
      <c r="B20" s="16" t="s">
        <v>42</v>
      </c>
      <c r="C20" s="30" t="s">
        <v>40</v>
      </c>
      <c r="D20" s="31" t="s">
        <v>41</v>
      </c>
      <c r="E20" s="32">
        <v>50000</v>
      </c>
    </row>
    <row r="21" spans="1:5" s="10" customFormat="1" ht="28.5" customHeight="1">
      <c r="A21" s="15">
        <v>9</v>
      </c>
      <c r="B21" s="16" t="s">
        <v>43</v>
      </c>
      <c r="C21" s="30" t="s">
        <v>44</v>
      </c>
      <c r="D21" s="31" t="s">
        <v>41</v>
      </c>
      <c r="E21" s="32">
        <f>48000*5</f>
        <v>240000</v>
      </c>
    </row>
    <row r="22" spans="1:5" s="10" customFormat="1" ht="28" customHeight="1">
      <c r="A22" s="15">
        <v>10</v>
      </c>
      <c r="B22" s="16" t="s">
        <v>46</v>
      </c>
      <c r="C22" s="30" t="s">
        <v>40</v>
      </c>
      <c r="D22" s="31" t="s">
        <v>41</v>
      </c>
      <c r="E22" s="32">
        <v>40000</v>
      </c>
    </row>
    <row r="23" spans="1:5" s="10" customFormat="1" ht="26" customHeight="1">
      <c r="A23" s="15">
        <v>11</v>
      </c>
      <c r="B23" s="16" t="s">
        <v>47</v>
      </c>
      <c r="C23" s="30" t="s">
        <v>48</v>
      </c>
      <c r="D23" s="31" t="s">
        <v>49</v>
      </c>
      <c r="E23" s="32">
        <f>44000*5</f>
        <v>220000</v>
      </c>
    </row>
    <row r="24" spans="1:5" s="23" customFormat="1" ht="18">
      <c r="A24" s="24" t="s">
        <v>32</v>
      </c>
      <c r="B24" s="24"/>
      <c r="C24" s="24"/>
      <c r="D24" s="24"/>
      <c r="E24" s="24"/>
    </row>
    <row r="25" spans="1:5" s="23" customFormat="1" ht="18">
      <c r="A25" s="24" t="s">
        <v>33</v>
      </c>
      <c r="B25" s="24"/>
      <c r="C25" s="24"/>
      <c r="D25" s="24"/>
      <c r="E25" s="24"/>
    </row>
    <row r="26" spans="1:5" ht="22.5" customHeight="1">
      <c r="A26" s="25"/>
      <c r="B26" s="12"/>
      <c r="C26" s="39" t="s">
        <v>45</v>
      </c>
      <c r="D26" s="40"/>
    </row>
    <row r="27" spans="1:5" ht="15.5">
      <c r="B27" s="12"/>
      <c r="C27" s="67" t="s">
        <v>65</v>
      </c>
      <c r="D27" s="67"/>
    </row>
    <row r="28" spans="1:5" ht="22.5" customHeight="1">
      <c r="E28" s="3"/>
    </row>
    <row r="29" spans="1:5" ht="27" customHeight="1">
      <c r="E29" s="3"/>
    </row>
    <row r="30" spans="1:5">
      <c r="E30" s="3"/>
    </row>
    <row r="31" spans="1:5">
      <c r="E31" s="3"/>
    </row>
    <row r="32" spans="1:5">
      <c r="E32" s="3"/>
    </row>
    <row r="33" spans="2:5">
      <c r="E33" s="3"/>
    </row>
    <row r="35" spans="2:5">
      <c r="B35" s="6"/>
    </row>
  </sheetData>
  <mergeCells count="15">
    <mergeCell ref="A9:E9"/>
    <mergeCell ref="C27:D27"/>
    <mergeCell ref="B6:E6"/>
    <mergeCell ref="C5:E5"/>
    <mergeCell ref="B1:E1"/>
    <mergeCell ref="B2:E2"/>
    <mergeCell ref="B3:E3"/>
    <mergeCell ref="B4:E4"/>
    <mergeCell ref="A8:E8"/>
    <mergeCell ref="A11:A12"/>
    <mergeCell ref="B11:B12"/>
    <mergeCell ref="C11:C12"/>
    <mergeCell ref="D11:D12"/>
    <mergeCell ref="E11:E12"/>
    <mergeCell ref="B7:E7"/>
  </mergeCells>
  <printOptions horizontalCentered="1"/>
  <pageMargins left="0.7" right="0.7" top="0.75" bottom="0.75" header="0.3" footer="0.3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topLeftCell="A23" zoomScaleNormal="100" workbookViewId="0">
      <selection activeCell="H43" sqref="H43"/>
    </sheetView>
  </sheetViews>
  <sheetFormatPr defaultRowHeight="14.5"/>
  <cols>
    <col min="1" max="1" width="6.6328125" style="3" customWidth="1"/>
    <col min="2" max="2" width="22.453125" style="35" customWidth="1"/>
    <col min="3" max="3" width="11.453125" style="3" customWidth="1"/>
    <col min="4" max="4" width="6.90625" style="3" bestFit="1" customWidth="1"/>
    <col min="5" max="5" width="6.36328125" style="11" bestFit="1" customWidth="1"/>
    <col min="6" max="6" width="7.7265625" bestFit="1" customWidth="1"/>
    <col min="7" max="7" width="14.90625" customWidth="1"/>
    <col min="8" max="8" width="13.26953125" style="3" bestFit="1" customWidth="1"/>
    <col min="9" max="9" width="14" customWidth="1"/>
  </cols>
  <sheetData>
    <row r="1" spans="1:10" ht="17.5">
      <c r="A1" s="49" t="s">
        <v>13</v>
      </c>
      <c r="B1" s="49"/>
      <c r="C1" s="49"/>
      <c r="D1" s="49"/>
      <c r="E1" s="49"/>
      <c r="F1" s="49"/>
      <c r="G1" s="49"/>
      <c r="H1" s="49"/>
      <c r="I1" s="49"/>
    </row>
    <row r="2" spans="1:10" ht="17.5">
      <c r="A2" s="2"/>
      <c r="C2" s="7" t="s">
        <v>16</v>
      </c>
      <c r="D2" s="7"/>
      <c r="E2" s="7"/>
      <c r="F2" s="7"/>
      <c r="G2" s="7"/>
    </row>
    <row r="3" spans="1:10" ht="24" customHeight="1">
      <c r="A3" s="2"/>
      <c r="C3" s="43" t="s">
        <v>15</v>
      </c>
      <c r="D3" s="43"/>
      <c r="E3" s="43"/>
      <c r="F3" s="43"/>
      <c r="G3" s="43"/>
    </row>
    <row r="4" spans="1:10" ht="18.75" customHeight="1">
      <c r="A4" s="2"/>
      <c r="C4" s="50" t="s">
        <v>14</v>
      </c>
      <c r="D4" s="50"/>
      <c r="E4" s="50"/>
      <c r="F4" s="50"/>
      <c r="G4" s="50"/>
      <c r="H4" s="50"/>
      <c r="I4" s="50"/>
    </row>
    <row r="5" spans="1:10" ht="21" customHeight="1">
      <c r="A5" s="2"/>
      <c r="C5" s="56"/>
      <c r="D5" s="56"/>
      <c r="E5" s="56"/>
      <c r="F5" s="56"/>
      <c r="G5" s="56"/>
    </row>
    <row r="6" spans="1:10" ht="31">
      <c r="A6" s="4"/>
      <c r="B6" s="36"/>
      <c r="C6" s="57" t="s">
        <v>2</v>
      </c>
      <c r="D6" s="57"/>
      <c r="E6" s="57"/>
      <c r="F6" s="57"/>
      <c r="G6" s="57"/>
    </row>
    <row r="7" spans="1:10" ht="21.75" customHeight="1">
      <c r="A7" s="2"/>
      <c r="B7" s="58" t="s">
        <v>34</v>
      </c>
      <c r="C7" s="58"/>
      <c r="D7" s="58"/>
      <c r="E7" s="58"/>
      <c r="F7" s="5"/>
      <c r="G7" s="17"/>
    </row>
    <row r="8" spans="1:10" ht="31.5" customHeight="1">
      <c r="A8" s="51" t="s">
        <v>63</v>
      </c>
      <c r="B8" s="51"/>
      <c r="C8" s="51"/>
      <c r="D8" s="51"/>
      <c r="E8" s="51"/>
      <c r="F8" s="51"/>
      <c r="G8" s="51"/>
      <c r="H8" s="51"/>
      <c r="I8" s="51"/>
      <c r="J8" s="42"/>
    </row>
    <row r="9" spans="1:10" ht="33" customHeight="1">
      <c r="A9" s="52" t="s">
        <v>70</v>
      </c>
      <c r="B9" s="52"/>
      <c r="C9" s="52"/>
      <c r="D9" s="52"/>
      <c r="E9" s="52"/>
      <c r="F9" s="52"/>
      <c r="G9" s="52"/>
      <c r="H9" s="52"/>
      <c r="I9" s="52"/>
      <c r="J9" s="44"/>
    </row>
    <row r="10" spans="1:10" ht="12" customHeight="1">
      <c r="A10" s="54"/>
      <c r="B10" s="54"/>
      <c r="C10" s="54"/>
      <c r="D10" s="54"/>
      <c r="E10" s="54"/>
      <c r="F10" s="54"/>
      <c r="G10" s="18"/>
    </row>
    <row r="11" spans="1:10" ht="30">
      <c r="A11" s="22" t="s">
        <v>0</v>
      </c>
      <c r="B11" s="22" t="s">
        <v>1</v>
      </c>
      <c r="C11" s="41" t="s">
        <v>73</v>
      </c>
      <c r="D11" s="41" t="s">
        <v>72</v>
      </c>
      <c r="E11" s="22" t="s">
        <v>59</v>
      </c>
      <c r="F11" s="41" t="s">
        <v>71</v>
      </c>
      <c r="G11" s="22" t="s">
        <v>60</v>
      </c>
      <c r="H11" s="22" t="s">
        <v>61</v>
      </c>
      <c r="I11" s="22" t="s">
        <v>7</v>
      </c>
    </row>
    <row r="12" spans="1:10" ht="20" customHeight="1">
      <c r="A12" s="34">
        <v>1</v>
      </c>
      <c r="B12" s="45" t="s">
        <v>51</v>
      </c>
      <c r="C12" s="34" t="s">
        <v>52</v>
      </c>
      <c r="D12" s="34" t="s">
        <v>23</v>
      </c>
      <c r="E12" s="34" t="s">
        <v>6</v>
      </c>
      <c r="F12" s="34">
        <v>20</v>
      </c>
      <c r="G12" s="46">
        <v>90000</v>
      </c>
      <c r="H12" s="46">
        <f>G12*F12</f>
        <v>1800000</v>
      </c>
      <c r="I12" s="47"/>
    </row>
    <row r="13" spans="1:10" ht="20" customHeight="1">
      <c r="A13" s="34">
        <v>2</v>
      </c>
      <c r="B13" s="45" t="s">
        <v>53</v>
      </c>
      <c r="C13" s="34" t="s">
        <v>52</v>
      </c>
      <c r="D13" s="34" t="s">
        <v>23</v>
      </c>
      <c r="E13" s="34" t="s">
        <v>6</v>
      </c>
      <c r="F13" s="34">
        <v>20</v>
      </c>
      <c r="G13" s="46">
        <v>93000</v>
      </c>
      <c r="H13" s="46">
        <f t="shared" ref="H13:H26" si="0">G13*F13</f>
        <v>1860000</v>
      </c>
      <c r="I13" s="47"/>
    </row>
    <row r="14" spans="1:10" ht="20" customHeight="1">
      <c r="A14" s="34">
        <v>3</v>
      </c>
      <c r="B14" s="45" t="s">
        <v>54</v>
      </c>
      <c r="C14" s="34" t="s">
        <v>52</v>
      </c>
      <c r="D14" s="34" t="s">
        <v>23</v>
      </c>
      <c r="E14" s="34" t="s">
        <v>6</v>
      </c>
      <c r="F14" s="34">
        <v>20</v>
      </c>
      <c r="G14" s="46">
        <v>97000</v>
      </c>
      <c r="H14" s="46">
        <f t="shared" si="0"/>
        <v>1940000</v>
      </c>
      <c r="I14" s="47"/>
    </row>
    <row r="15" spans="1:10" ht="20" customHeight="1">
      <c r="A15" s="34">
        <v>4</v>
      </c>
      <c r="B15" s="45" t="s">
        <v>22</v>
      </c>
      <c r="C15" s="34" t="s">
        <v>19</v>
      </c>
      <c r="D15" s="34" t="s">
        <v>24</v>
      </c>
      <c r="E15" s="34" t="s">
        <v>6</v>
      </c>
      <c r="F15" s="34">
        <v>40</v>
      </c>
      <c r="G15" s="46">
        <v>65000</v>
      </c>
      <c r="H15" s="46">
        <f t="shared" si="0"/>
        <v>2600000</v>
      </c>
      <c r="I15" s="47"/>
    </row>
    <row r="16" spans="1:10" ht="20" customHeight="1">
      <c r="A16" s="34">
        <v>5</v>
      </c>
      <c r="B16" s="45" t="s">
        <v>22</v>
      </c>
      <c r="C16" s="34" t="s">
        <v>19</v>
      </c>
      <c r="D16" s="34" t="s">
        <v>23</v>
      </c>
      <c r="E16" s="34" t="s">
        <v>6</v>
      </c>
      <c r="F16" s="34">
        <v>20</v>
      </c>
      <c r="G16" s="46">
        <v>120000</v>
      </c>
      <c r="H16" s="46">
        <f t="shared" si="0"/>
        <v>2400000</v>
      </c>
      <c r="I16" s="47"/>
    </row>
    <row r="17" spans="1:18" ht="20" customHeight="1">
      <c r="A17" s="34">
        <v>6</v>
      </c>
      <c r="B17" s="45" t="s">
        <v>55</v>
      </c>
      <c r="C17" s="34" t="s">
        <v>19</v>
      </c>
      <c r="D17" s="34" t="s">
        <v>23</v>
      </c>
      <c r="E17" s="34" t="s">
        <v>6</v>
      </c>
      <c r="F17" s="34">
        <v>20</v>
      </c>
      <c r="G17" s="46">
        <v>75000</v>
      </c>
      <c r="H17" s="46">
        <f t="shared" si="0"/>
        <v>1500000</v>
      </c>
      <c r="I17" s="47" t="s">
        <v>62</v>
      </c>
    </row>
    <row r="18" spans="1:18" ht="20" customHeight="1">
      <c r="A18" s="34">
        <v>7</v>
      </c>
      <c r="B18" s="45" t="s">
        <v>56</v>
      </c>
      <c r="C18" s="34" t="s">
        <v>19</v>
      </c>
      <c r="D18" s="34" t="s">
        <v>20</v>
      </c>
      <c r="E18" s="34" t="s">
        <v>21</v>
      </c>
      <c r="F18" s="34">
        <v>4</v>
      </c>
      <c r="G18" s="46">
        <v>350000</v>
      </c>
      <c r="H18" s="46">
        <f t="shared" si="0"/>
        <v>1400000</v>
      </c>
      <c r="I18" s="47" t="s">
        <v>62</v>
      </c>
    </row>
    <row r="19" spans="1:18" ht="20" customHeight="1">
      <c r="A19" s="34">
        <v>8</v>
      </c>
      <c r="B19" s="45" t="s">
        <v>27</v>
      </c>
      <c r="C19" s="34" t="s">
        <v>19</v>
      </c>
      <c r="D19" s="34" t="s">
        <v>23</v>
      </c>
      <c r="E19" s="34" t="s">
        <v>6</v>
      </c>
      <c r="F19" s="34">
        <v>20</v>
      </c>
      <c r="G19" s="46">
        <v>117000</v>
      </c>
      <c r="H19" s="46">
        <f t="shared" si="0"/>
        <v>2340000</v>
      </c>
      <c r="I19" s="47"/>
    </row>
    <row r="20" spans="1:18" ht="20" customHeight="1">
      <c r="A20" s="34">
        <v>9</v>
      </c>
      <c r="B20" s="45" t="s">
        <v>57</v>
      </c>
      <c r="C20" s="34" t="s">
        <v>19</v>
      </c>
      <c r="D20" s="34" t="s">
        <v>24</v>
      </c>
      <c r="E20" s="34" t="s">
        <v>6</v>
      </c>
      <c r="F20" s="34">
        <v>40</v>
      </c>
      <c r="G20" s="46">
        <v>60000</v>
      </c>
      <c r="H20" s="46">
        <f t="shared" si="0"/>
        <v>2400000</v>
      </c>
      <c r="I20" s="47"/>
    </row>
    <row r="21" spans="1:18" ht="20" customHeight="1">
      <c r="A21" s="34">
        <v>10</v>
      </c>
      <c r="B21" s="45" t="s">
        <v>18</v>
      </c>
      <c r="C21" s="34" t="s">
        <v>19</v>
      </c>
      <c r="D21" s="34" t="s">
        <v>20</v>
      </c>
      <c r="E21" s="34" t="s">
        <v>6</v>
      </c>
      <c r="F21" s="34">
        <v>4</v>
      </c>
      <c r="G21" s="46">
        <v>390000</v>
      </c>
      <c r="H21" s="46">
        <f t="shared" si="0"/>
        <v>1560000</v>
      </c>
      <c r="I21" s="47"/>
    </row>
    <row r="22" spans="1:18" ht="20" customHeight="1">
      <c r="A22" s="34">
        <v>11</v>
      </c>
      <c r="B22" s="45" t="s">
        <v>28</v>
      </c>
      <c r="C22" s="34" t="s">
        <v>19</v>
      </c>
      <c r="D22" s="34" t="s">
        <v>29</v>
      </c>
      <c r="E22" s="34" t="s">
        <v>30</v>
      </c>
      <c r="F22" s="34">
        <v>1</v>
      </c>
      <c r="G22" s="46">
        <v>1190000</v>
      </c>
      <c r="H22" s="46">
        <f t="shared" si="0"/>
        <v>1190000</v>
      </c>
      <c r="I22" s="47"/>
    </row>
    <row r="23" spans="1:18" ht="20" customHeight="1">
      <c r="A23" s="34">
        <v>12</v>
      </c>
      <c r="B23" s="45" t="s">
        <v>58</v>
      </c>
      <c r="C23" s="34" t="s">
        <v>19</v>
      </c>
      <c r="D23" s="34" t="s">
        <v>29</v>
      </c>
      <c r="E23" s="34" t="s">
        <v>30</v>
      </c>
      <c r="F23" s="34">
        <v>1</v>
      </c>
      <c r="G23" s="46">
        <v>1365000</v>
      </c>
      <c r="H23" s="46">
        <f t="shared" si="0"/>
        <v>1365000</v>
      </c>
      <c r="I23" s="47"/>
      <c r="J23" s="26"/>
      <c r="K23" s="19"/>
      <c r="L23" s="19"/>
      <c r="M23" s="19"/>
      <c r="N23" s="19"/>
      <c r="O23" s="20"/>
      <c r="P23" s="6"/>
      <c r="R23" s="3"/>
    </row>
    <row r="24" spans="1:18" ht="20" customHeight="1">
      <c r="A24" s="34">
        <v>13</v>
      </c>
      <c r="B24" s="45" t="s">
        <v>25</v>
      </c>
      <c r="C24" s="34" t="s">
        <v>19</v>
      </c>
      <c r="D24" s="34" t="s">
        <v>20</v>
      </c>
      <c r="E24" s="34" t="s">
        <v>21</v>
      </c>
      <c r="F24" s="34">
        <v>4</v>
      </c>
      <c r="G24" s="48">
        <v>442000</v>
      </c>
      <c r="H24" s="48">
        <f t="shared" si="0"/>
        <v>1768000</v>
      </c>
      <c r="I24" s="47"/>
      <c r="J24" s="27"/>
      <c r="K24" s="24"/>
      <c r="L24" s="24"/>
      <c r="M24" s="8"/>
      <c r="N24" s="3"/>
      <c r="O24" s="6"/>
      <c r="R24" s="3"/>
    </row>
    <row r="25" spans="1:18" ht="20" customHeight="1">
      <c r="A25" s="34">
        <v>14</v>
      </c>
      <c r="B25" s="45" t="s">
        <v>31</v>
      </c>
      <c r="C25" s="34" t="s">
        <v>19</v>
      </c>
      <c r="D25" s="34" t="s">
        <v>24</v>
      </c>
      <c r="E25" s="34" t="s">
        <v>6</v>
      </c>
      <c r="F25" s="34">
        <v>40</v>
      </c>
      <c r="G25" s="48">
        <v>75000</v>
      </c>
      <c r="H25" s="48">
        <f t="shared" si="0"/>
        <v>3000000</v>
      </c>
      <c r="I25" s="47"/>
      <c r="J25" s="27"/>
      <c r="K25" s="24"/>
      <c r="L25" s="24"/>
      <c r="M25" s="13"/>
      <c r="N25" s="3"/>
      <c r="O25" s="6"/>
      <c r="Q25" s="3"/>
      <c r="R25" s="21"/>
    </row>
    <row r="26" spans="1:18" ht="20" customHeight="1">
      <c r="A26" s="34">
        <v>15</v>
      </c>
      <c r="B26" s="45" t="s">
        <v>26</v>
      </c>
      <c r="C26" s="34" t="s">
        <v>19</v>
      </c>
      <c r="D26" s="34" t="s">
        <v>23</v>
      </c>
      <c r="E26" s="34" t="s">
        <v>6</v>
      </c>
      <c r="F26" s="34">
        <v>20</v>
      </c>
      <c r="G26" s="46">
        <v>93000</v>
      </c>
      <c r="H26" s="46">
        <f t="shared" si="0"/>
        <v>1860000</v>
      </c>
      <c r="I26" s="47"/>
      <c r="J26" s="3"/>
      <c r="K26" s="55"/>
      <c r="L26" s="55"/>
      <c r="M26" s="55"/>
      <c r="N26" s="55"/>
      <c r="O26" s="55"/>
      <c r="P26" s="55"/>
      <c r="Q26" s="3"/>
      <c r="R26" s="14"/>
    </row>
    <row r="27" spans="1:18" ht="15.5">
      <c r="A27" s="27" t="s">
        <v>32</v>
      </c>
      <c r="B27" s="37"/>
      <c r="C27" s="11"/>
      <c r="H27"/>
      <c r="I27" s="11"/>
    </row>
    <row r="28" spans="1:18" ht="15.5">
      <c r="A28" s="27" t="s">
        <v>33</v>
      </c>
      <c r="G28" s="39" t="s">
        <v>45</v>
      </c>
      <c r="H28" s="40"/>
    </row>
    <row r="29" spans="1:18" ht="15.5">
      <c r="G29" s="67" t="s">
        <v>65</v>
      </c>
      <c r="H29" s="67"/>
    </row>
  </sheetData>
  <mergeCells count="10">
    <mergeCell ref="K26:P26"/>
    <mergeCell ref="C5:G5"/>
    <mergeCell ref="C6:G6"/>
    <mergeCell ref="B7:E7"/>
    <mergeCell ref="A1:I1"/>
    <mergeCell ref="C4:I4"/>
    <mergeCell ref="A8:I8"/>
    <mergeCell ref="A9:I9"/>
    <mergeCell ref="G29:H29"/>
    <mergeCell ref="A10:F10"/>
  </mergeCells>
  <hyperlinks>
    <hyperlink ref="C4" r:id="rId1" display="https://omrigroup.vn/- hotline" xr:uid="{00000000-0004-0000-0100-000000000000}"/>
  </hyperlinks>
  <printOptions horizontalCentered="1" verticalCentered="1"/>
  <pageMargins left="0.45" right="0.2" top="0.75" bottom="0.75" header="0.3" footer="0.3"/>
  <pageSetup paperSize="9" scale="85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topLeftCell="A13" workbookViewId="0">
      <selection activeCell="F16" sqref="F16"/>
    </sheetView>
  </sheetViews>
  <sheetFormatPr defaultRowHeight="14.5"/>
  <cols>
    <col min="1" max="1" width="8.7265625" style="3"/>
    <col min="2" max="2" width="22.453125" style="35" customWidth="1"/>
    <col min="3" max="3" width="15" style="3" customWidth="1"/>
    <col min="4" max="4" width="11.90625" style="3" customWidth="1"/>
    <col min="5" max="5" width="14.1796875" style="11" customWidth="1"/>
    <col min="6" max="6" width="12.453125" customWidth="1"/>
    <col min="7" max="7" width="14.90625" customWidth="1"/>
    <col min="8" max="8" width="18.7265625" style="3" customWidth="1"/>
    <col min="9" max="9" width="15.36328125" customWidth="1"/>
  </cols>
  <sheetData>
    <row r="1" spans="1:9" ht="17.5">
      <c r="A1" s="1"/>
      <c r="B1" s="49" t="s">
        <v>13</v>
      </c>
      <c r="C1" s="49"/>
      <c r="D1" s="49"/>
      <c r="E1" s="49"/>
      <c r="F1" s="49"/>
      <c r="G1" s="49"/>
      <c r="H1" s="49"/>
      <c r="I1" s="49"/>
    </row>
    <row r="2" spans="1:9" ht="17.5">
      <c r="A2" s="2"/>
      <c r="C2" s="49" t="s">
        <v>16</v>
      </c>
      <c r="D2" s="49"/>
      <c r="E2" s="49"/>
      <c r="F2" s="49"/>
      <c r="G2" s="49"/>
    </row>
    <row r="3" spans="1:9" ht="24" customHeight="1">
      <c r="A3" s="2"/>
      <c r="C3" s="56" t="s">
        <v>15</v>
      </c>
      <c r="D3" s="56"/>
      <c r="E3" s="56"/>
      <c r="F3" s="56"/>
      <c r="G3" s="56"/>
    </row>
    <row r="4" spans="1:9" ht="18.75" customHeight="1">
      <c r="A4" s="2"/>
      <c r="C4" s="50" t="s">
        <v>14</v>
      </c>
      <c r="D4" s="50"/>
      <c r="E4" s="50"/>
      <c r="F4" s="50"/>
      <c r="G4" s="50"/>
    </row>
    <row r="5" spans="1:9" ht="21" customHeight="1">
      <c r="A5" s="2"/>
      <c r="C5" s="56"/>
      <c r="D5" s="56"/>
      <c r="E5" s="56"/>
      <c r="F5" s="56"/>
      <c r="G5" s="56"/>
    </row>
    <row r="6" spans="1:9" ht="31">
      <c r="A6" s="4"/>
      <c r="B6" s="36"/>
      <c r="C6" s="57" t="s">
        <v>66</v>
      </c>
      <c r="D6" s="57"/>
      <c r="E6" s="57"/>
      <c r="F6" s="57"/>
      <c r="G6" s="57"/>
    </row>
    <row r="7" spans="1:9" ht="21.75" customHeight="1">
      <c r="A7" s="2"/>
      <c r="B7" s="58" t="s">
        <v>34</v>
      </c>
      <c r="C7" s="58"/>
      <c r="D7" s="58"/>
      <c r="E7" s="58"/>
      <c r="F7" s="5"/>
      <c r="G7" s="17"/>
    </row>
    <row r="8" spans="1:9" ht="31.5" customHeight="1">
      <c r="A8" s="51" t="s">
        <v>63</v>
      </c>
      <c r="B8" s="51"/>
      <c r="C8" s="51"/>
      <c r="D8" s="51"/>
      <c r="E8" s="51"/>
      <c r="F8" s="51"/>
      <c r="G8" s="51"/>
      <c r="H8" s="51"/>
      <c r="I8" s="33"/>
    </row>
    <row r="9" spans="1:9" ht="33" customHeight="1">
      <c r="A9" s="66" t="s">
        <v>64</v>
      </c>
      <c r="B9" s="66"/>
      <c r="C9" s="66"/>
      <c r="D9" s="66"/>
      <c r="E9" s="66"/>
      <c r="F9" s="66"/>
      <c r="G9" s="66"/>
      <c r="H9" s="66"/>
      <c r="I9" s="29"/>
    </row>
    <row r="10" spans="1:9" ht="33" customHeight="1">
      <c r="A10" s="38"/>
      <c r="B10" s="38"/>
      <c r="C10" s="38"/>
      <c r="D10" s="38"/>
      <c r="E10" s="38"/>
      <c r="F10" s="38"/>
      <c r="G10" s="38"/>
      <c r="H10" s="38"/>
      <c r="I10" s="29"/>
    </row>
    <row r="11" spans="1:9" ht="33" customHeight="1">
      <c r="A11" s="38"/>
      <c r="B11" s="38"/>
      <c r="C11" s="38"/>
      <c r="D11" s="38"/>
      <c r="E11" s="38"/>
      <c r="F11" s="38"/>
      <c r="G11" s="38"/>
      <c r="H11" s="38"/>
      <c r="I11" s="29"/>
    </row>
    <row r="12" spans="1:9" ht="33" customHeight="1">
      <c r="A12" s="38"/>
      <c r="B12" s="38"/>
      <c r="C12" s="38"/>
      <c r="D12" s="38"/>
      <c r="E12" s="38"/>
      <c r="F12" s="38"/>
      <c r="G12" s="38"/>
      <c r="H12" s="38"/>
      <c r="I12" s="29"/>
    </row>
    <row r="13" spans="1:9" ht="33" customHeight="1">
      <c r="A13" s="38"/>
      <c r="B13" s="38"/>
      <c r="C13" s="38"/>
      <c r="D13" s="38"/>
      <c r="E13" s="38"/>
      <c r="F13" s="38"/>
      <c r="G13" s="38"/>
      <c r="H13" s="38"/>
      <c r="I13" s="29"/>
    </row>
    <row r="14" spans="1:9" ht="33" customHeight="1">
      <c r="A14" s="38"/>
      <c r="B14" s="38"/>
      <c r="C14" s="38"/>
      <c r="D14" s="38"/>
      <c r="E14" s="38"/>
      <c r="F14" s="38"/>
      <c r="G14" s="38"/>
      <c r="H14" s="38"/>
      <c r="I14" s="29"/>
    </row>
    <row r="15" spans="1:9" ht="33" customHeight="1">
      <c r="A15" s="38"/>
      <c r="B15" s="38"/>
      <c r="C15" s="38"/>
      <c r="D15" s="38"/>
      <c r="E15" s="38"/>
      <c r="F15" s="38"/>
      <c r="G15" s="38"/>
      <c r="H15" s="38"/>
      <c r="I15" s="29"/>
    </row>
    <row r="16" spans="1:9" ht="33" customHeight="1">
      <c r="A16" s="38"/>
      <c r="B16" s="38"/>
      <c r="C16" s="38"/>
      <c r="D16" s="38"/>
      <c r="E16" s="38"/>
      <c r="F16" s="38"/>
      <c r="G16" s="38"/>
      <c r="H16" s="38"/>
      <c r="I16" s="29"/>
    </row>
    <row r="17" spans="1:18" ht="33" customHeight="1">
      <c r="A17" s="38"/>
      <c r="B17" s="38"/>
      <c r="C17" s="38"/>
      <c r="D17" s="38"/>
      <c r="E17" s="38"/>
      <c r="F17" s="38"/>
      <c r="G17" s="38"/>
      <c r="H17" s="38"/>
      <c r="I17" s="29"/>
    </row>
    <row r="18" spans="1:18" ht="22.5" customHeight="1">
      <c r="A18" s="54"/>
      <c r="B18" s="54"/>
      <c r="C18" s="54"/>
      <c r="D18" s="54"/>
      <c r="E18" s="54"/>
      <c r="F18" s="54"/>
      <c r="G18" s="18"/>
    </row>
    <row r="19" spans="1:18" ht="46.5" customHeight="1">
      <c r="B19" s="37"/>
      <c r="C19" s="11"/>
      <c r="H19"/>
      <c r="I19" s="11"/>
    </row>
    <row r="20" spans="1:18" ht="33.75" customHeight="1"/>
    <row r="21" spans="1:18" ht="28.5" customHeight="1">
      <c r="G21" s="39" t="s">
        <v>45</v>
      </c>
      <c r="H21" s="40"/>
    </row>
    <row r="22" spans="1:18" ht="28.5" customHeight="1">
      <c r="G22" s="53" t="s">
        <v>65</v>
      </c>
      <c r="H22" s="53"/>
    </row>
    <row r="23" spans="1:18" ht="28.5" customHeight="1"/>
    <row r="24" spans="1:18" ht="28.5" customHeight="1"/>
    <row r="25" spans="1:18" ht="28.5" customHeight="1"/>
    <row r="26" spans="1:18" ht="28.5" customHeight="1"/>
    <row r="27" spans="1:18" ht="28.5" customHeight="1"/>
    <row r="28" spans="1:18" ht="28.5" customHeight="1"/>
    <row r="29" spans="1:18" ht="28.5" customHeight="1"/>
    <row r="30" spans="1:18" ht="28.5" customHeight="1"/>
    <row r="31" spans="1:18" ht="26.5" customHeight="1">
      <c r="R31" s="3"/>
    </row>
    <row r="32" spans="1:18" ht="26.5" customHeight="1">
      <c r="R32" s="3"/>
    </row>
    <row r="33" spans="17:18" ht="26.5" customHeight="1">
      <c r="Q33" s="3"/>
      <c r="R33" s="21"/>
    </row>
    <row r="34" spans="17:18" ht="26.5" customHeight="1">
      <c r="Q34" s="3"/>
      <c r="R34" s="14"/>
    </row>
  </sheetData>
  <mergeCells count="11">
    <mergeCell ref="A8:H8"/>
    <mergeCell ref="A9:H9"/>
    <mergeCell ref="A18:F18"/>
    <mergeCell ref="G22:H22"/>
    <mergeCell ref="B1:I1"/>
    <mergeCell ref="C2:G2"/>
    <mergeCell ref="C3:G3"/>
    <mergeCell ref="C4:G4"/>
    <mergeCell ref="C5:G5"/>
    <mergeCell ref="C6:G6"/>
    <mergeCell ref="B7:E7"/>
  </mergeCells>
  <hyperlinks>
    <hyperlink ref="C4" r:id="rId1" display="https://omrigroup.vn/- hotline" xr:uid="{00000000-0004-0000-02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DÒNG PHÂN NỞ-BÓN GỐC</vt:lpstr>
      <vt:lpstr>DÒNG PHÂN NƯỚC</vt:lpstr>
      <vt:lpstr>Sheet1</vt:lpstr>
      <vt:lpstr>'DÒNG PHÂN NỞ-BÓN GỐC'!Print_Area</vt:lpstr>
      <vt:lpstr>'DÒNG PHÂN NƯỚC'!Print_Area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Son Ho Minh</cp:lastModifiedBy>
  <cp:lastPrinted>2026-04-03T04:24:42Z</cp:lastPrinted>
  <dcterms:created xsi:type="dcterms:W3CDTF">2025-04-10T05:59:04Z</dcterms:created>
  <dcterms:modified xsi:type="dcterms:W3CDTF">2026-04-03T04:24:59Z</dcterms:modified>
</cp:coreProperties>
</file>